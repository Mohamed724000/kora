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eability Matrix" sheetId="1" state="visible" r:id="rId3"/>
    <sheet name="Résumé" sheetId="2" state="visible" r:id="rId4"/>
  </sheets>
  <definedNames>
    <definedName function="false" hidden="true" localSheetId="0" name="_xlnm._FilterDatabase" vbProcedure="false">'Traceability Matrix'!$A$1:$K$69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<sst xmlns="http://schemas.openxmlformats.org/spreadsheetml/2006/main" count="786" uniqueCount="464">
  <si>
    <t xml:space="preserve">Requirement ID</t>
  </si>
  <si>
    <t xml:space="preserve">Source</t>
  </si>
  <si>
    <t xml:space="preserve">Fonctionnalité</t>
  </si>
  <si>
    <t xml:space="preserve">Écran mobile</t>
  </si>
  <si>
    <t xml:space="preserve">Écran admin</t>
  </si>
  <si>
    <t xml:space="preserve">Endpoint</t>
  </si>
  <si>
    <t xml:space="preserve">Modèle Prisma</t>
  </si>
  <si>
    <t xml:space="preserve">Permission</t>
  </si>
  <si>
    <t xml:space="preserve">Test</t>
  </si>
  <si>
    <t xml:space="preserve">Phase roadmap</t>
  </si>
  <si>
    <t xml:space="preserve">Statut</t>
  </si>
  <si>
    <t xml:space="preserve">REQ-P0-01</t>
  </si>
  <si>
    <t xml:space="preserve">CdC §6 ; Engineering §4</t>
  </si>
  <si>
    <t xml:space="preserve">Schéma de données PostgreSQL/Prisma (fondation)</t>
  </si>
  <si>
    <t xml:space="preserve">—</t>
  </si>
  <si>
    <t xml:space="preserve">Tous modèles fondation (User, Content, Order…)</t>
  </si>
  <si>
    <t xml:space="preserve">N/A</t>
  </si>
  <si>
    <t xml:space="preserve">Tests unitaires migrations Prisma</t>
  </si>
  <si>
    <t xml:space="preserve">P0</t>
  </si>
  <si>
    <t xml:space="preserve">Spécifié</t>
  </si>
  <si>
    <t xml:space="preserve">REQ-P1-01</t>
  </si>
  <si>
    <t xml:space="preserve">UI/UX §5</t>
  </si>
  <si>
    <t xml:space="preserve">Design System mobile (couleurs, typo, composants)</t>
  </si>
  <si>
    <t xml:space="preserve">Tous écrans mobile</t>
  </si>
  <si>
    <t xml:space="preserve">Golden tests composants critiques</t>
  </si>
  <si>
    <t xml:space="preserve">P1</t>
  </si>
  <si>
    <t xml:space="preserve">REQ-P1-02</t>
  </si>
  <si>
    <t xml:space="preserve">Back-Office §8</t>
  </si>
  <si>
    <t xml:space="preserve">Design System back-office (tokens sobres, AdminLTE adapté)</t>
  </si>
  <si>
    <t xml:space="preserve">Tous écrans admin</t>
  </si>
  <si>
    <t xml:space="preserve">Tests composants React</t>
  </si>
  <si>
    <t xml:space="preserve">REQ-P1-03</t>
  </si>
  <si>
    <t xml:space="preserve">CdC §19</t>
  </si>
  <si>
    <t xml:space="preserve">Données de seed (5 paliers de fidélité, catalogue riche)</t>
  </si>
  <si>
    <t xml:space="preserve">User, Content, LoyaltyTierConfig</t>
  </si>
  <si>
    <t xml:space="preserve">Vérification manuelle du seed</t>
  </si>
  <si>
    <t xml:space="preserve">REQ-P2-01</t>
  </si>
  <si>
    <t xml:space="preserve">CdC §8.1 ; UI/UX §4.6</t>
  </si>
  <si>
    <t xml:space="preserve">Accueil (catalogue, bannière, rails thématiques)</t>
  </si>
  <si>
    <t xml:space="preserve">HomeScreen</t>
  </si>
  <si>
    <t xml:space="preserve">GET /catalog, GET /banners</t>
  </si>
  <si>
    <t xml:space="preserve">Content, Category, Banner</t>
  </si>
  <si>
    <t xml:space="preserve">Public</t>
  </si>
  <si>
    <t xml:space="preserve">Widget test loading/data/error</t>
  </si>
  <si>
    <t xml:space="preserve">P2</t>
  </si>
  <si>
    <t xml:space="preserve">Corrigé V1.1 (Banner nouveau)</t>
  </si>
  <si>
    <t xml:space="preserve">REQ-P2-02</t>
  </si>
  <si>
    <t xml:space="preserve">CdC §9.4 ; UI/UX §4.7</t>
  </si>
  <si>
    <t xml:space="preserve">Découvrir (recherche unifiée, tendances)</t>
  </si>
  <si>
    <t xml:space="preserve">DiscoverScreen</t>
  </si>
  <si>
    <t xml:space="preserve">GET /catalog, recherche pleine texte</t>
  </si>
  <si>
    <t xml:space="preserve">Content, Category</t>
  </si>
  <si>
    <t xml:space="preserve">Widget test</t>
  </si>
  <si>
    <t xml:space="preserve">REQ-P2-03</t>
  </si>
  <si>
    <t xml:space="preserve">UI/UX §4.8</t>
  </si>
  <si>
    <t xml:space="preserve">Catégorie (grille filtrée par sous-type)</t>
  </si>
  <si>
    <t xml:space="preserve">CategoryScreen</t>
  </si>
  <si>
    <t xml:space="preserve">GET /catalog?category=</t>
  </si>
  <si>
    <t xml:space="preserve">REQ-P2-04</t>
  </si>
  <si>
    <t xml:space="preserve">CdC §6.2 ; UI/UX §4.9</t>
  </si>
  <si>
    <t xml:space="preserve">Fiche contenu (achat, avis, soutien artiste)</t>
  </si>
  <si>
    <t xml:space="preserve">ContentDetailScreen</t>
  </si>
  <si>
    <t xml:space="preserve">GET /content/:id, GET /content/:id/reviews</t>
  </si>
  <si>
    <t xml:space="preserve">Content, VipSupport</t>
  </si>
  <si>
    <t xml:space="preserve">Public (achat : connecté)</t>
  </si>
  <si>
    <t xml:space="preserve">Widget + golden test</t>
  </si>
  <si>
    <t xml:space="preserve">REQ-P2-05</t>
  </si>
  <si>
    <t xml:space="preserve">UI/UX §4.10</t>
  </si>
  <si>
    <t xml:space="preserve">Fiche artiste</t>
  </si>
  <si>
    <t xml:space="preserve">ArtistProfileScreen</t>
  </si>
  <si>
    <t xml:space="preserve">GET /artists/:id</t>
  </si>
  <si>
    <t xml:space="preserve">ArtistProfile, Content</t>
  </si>
  <si>
    <t xml:space="preserve">REQ-P2-06</t>
  </si>
  <si>
    <t xml:space="preserve">CdC §4.5</t>
  </si>
  <si>
    <t xml:space="preserve">Vitrine web publique (lecture seule)</t>
  </si>
  <si>
    <t xml:space="preserve">GET /catalog (apps/web)</t>
  </si>
  <si>
    <t xml:space="preserve">Content</t>
  </si>
  <si>
    <t xml:space="preserve">Playwright E2E</t>
  </si>
  <si>
    <t xml:space="preserve">REQ-P3-01</t>
  </si>
  <si>
    <t xml:space="preserve">CdC §8.2 ; UI/UX §4.2</t>
  </si>
  <si>
    <t xml:space="preserve">Connexion mobile (téléphone + mot de passe)</t>
  </si>
  <si>
    <t xml:space="preserve">LoginScreen</t>
  </si>
  <si>
    <t xml:space="preserve">POST /auth/login</t>
  </si>
  <si>
    <t xml:space="preserve">User, Session</t>
  </si>
  <si>
    <t xml:space="preserve">Widget test, integration_test login_flow</t>
  </si>
  <si>
    <t xml:space="preserve">P3</t>
  </si>
  <si>
    <t xml:space="preserve">REQ-P3-02</t>
  </si>
  <si>
    <t xml:space="preserve">CdC §8.2 ; UI/UX §4.3</t>
  </si>
  <si>
    <t xml:space="preserve">Inscription mobile</t>
  </si>
  <si>
    <t xml:space="preserve">RegisterScreen</t>
  </si>
  <si>
    <t xml:space="preserve">POST /auth/register</t>
  </si>
  <si>
    <t xml:space="preserve">User</t>
  </si>
  <si>
    <t xml:space="preserve">REQ-P3-03</t>
  </si>
  <si>
    <t xml:space="preserve">Engineering §5.1.3 ; UI/UX §4.4</t>
  </si>
  <si>
    <t xml:space="preserve">Vérification OTP (SMS, mobile)</t>
  </si>
  <si>
    <t xml:space="preserve">OtpScreen</t>
  </si>
  <si>
    <t xml:space="preserve">POST /otp/verify</t>
  </si>
  <si>
    <t xml:space="preserve">OtpChallenge</t>
  </si>
  <si>
    <t xml:space="preserve">REQ-P3-04</t>
  </si>
  <si>
    <t xml:space="preserve">UI/UX §4.5</t>
  </si>
  <si>
    <t xml:space="preserve">Mot de passe oublié (mobile)</t>
  </si>
  <si>
    <t xml:space="preserve">ForgotPasswordScreen</t>
  </si>
  <si>
    <t xml:space="preserve">POST /auth/password/reset-request</t>
  </si>
  <si>
    <t xml:space="preserve">REQ-P3-05</t>
  </si>
  <si>
    <t xml:space="preserve">CdC §17.2 ; Engineering §9.3</t>
  </si>
  <si>
    <t xml:space="preserve">Politique mono-appareil (déconnexion auto.)</t>
  </si>
  <si>
    <t xml:space="preserve">Transverse (toute session)</t>
  </si>
  <si>
    <t xml:space="preserve">Toutes routes authentifiées</t>
  </si>
  <si>
    <t xml:space="preserve">Device, Session</t>
  </si>
  <si>
    <t xml:space="preserve">Utilisateur connecté</t>
  </si>
  <si>
    <t xml:space="preserve">integration_test device_conflict_test</t>
  </si>
  <si>
    <t xml:space="preserve">REQ-P4-01</t>
  </si>
  <si>
    <t xml:space="preserve">CdC §13.2 ; UI/UX §4.11</t>
  </si>
  <si>
    <t xml:space="preserve">Paiement (sélection du moyen)</t>
  </si>
  <si>
    <t xml:space="preserve">CheckoutScreen</t>
  </si>
  <si>
    <t xml:space="preserve">POST /orders, POST /payments/initiate</t>
  </si>
  <si>
    <t xml:space="preserve">Order, Payment</t>
  </si>
  <si>
    <t xml:space="preserve">Widget test, test idempotence</t>
  </si>
  <si>
    <t xml:space="preserve">P4</t>
  </si>
  <si>
    <t xml:space="preserve">REQ-P4-02</t>
  </si>
  <si>
    <t xml:space="preserve">UI/UX §4.12</t>
  </si>
  <si>
    <t xml:space="preserve">Statut de paiement</t>
  </si>
  <si>
    <t xml:space="preserve">PaymentStatusScreen</t>
  </si>
  <si>
    <t xml:space="preserve">GET /orders/:id (polling), webhook</t>
  </si>
  <si>
    <t xml:space="preserve">Payment</t>
  </si>
  <si>
    <t xml:space="preserve">REQ-P4-03</t>
  </si>
  <si>
    <t xml:space="preserve">UI/UX §4.13</t>
  </si>
  <si>
    <t xml:space="preserve">Mes achats (achats / téléchargés / favoris)</t>
  </si>
  <si>
    <t xml:space="preserve">PurchasesScreen</t>
  </si>
  <si>
    <t xml:space="preserve">GET /orders?status=paid</t>
  </si>
  <si>
    <t xml:space="preserve">Order, Entitlement</t>
  </si>
  <si>
    <t xml:space="preserve">REQ-P4-04</t>
  </si>
  <si>
    <t xml:space="preserve">UI/UX §4.14</t>
  </si>
  <si>
    <t xml:space="preserve">Commande &amp; Reçu</t>
  </si>
  <si>
    <t xml:space="preserve">OrderDetailScreen</t>
  </si>
  <si>
    <t xml:space="preserve">GET /orders/:id/receipt</t>
  </si>
  <si>
    <t xml:space="preserve">REQ-P5-01</t>
  </si>
  <si>
    <t xml:space="preserve">CdC §14 ; UI/UX §4.20</t>
  </si>
  <si>
    <t xml:space="preserve">Statut de fidélité (mobile)</t>
  </si>
  <si>
    <t xml:space="preserve">LoyaltyDetailSheet</t>
  </si>
  <si>
    <t xml:space="preserve">GET /loyalty/me</t>
  </si>
  <si>
    <t xml:space="preserve">User, LoyaltyTierConfig</t>
  </si>
  <si>
    <t xml:space="preserve">P5</t>
  </si>
  <si>
    <t xml:space="preserve">REQ-P5-02</t>
  </si>
  <si>
    <t xml:space="preserve">CdC §14.5 ; Back-Office §6.20</t>
  </si>
  <si>
    <t xml:space="preserve">Classement de fidélité (admin) + export</t>
  </si>
  <si>
    <t xml:space="preserve">Classement de fidélité</t>
  </si>
  <si>
    <t xml:space="preserve">GET /admin/loyalty/ranking, /export</t>
  </si>
  <si>
    <t xml:space="preserve">Tous rôles (export : super_admin, finance_manager)</t>
  </si>
  <si>
    <t xml:space="preserve">Playwright E2E export fidélité</t>
  </si>
  <si>
    <t xml:space="preserve">REQ-P5-03</t>
  </si>
  <si>
    <t xml:space="preserve">CdC §14.3 ; Back-Office §6.21</t>
  </si>
  <si>
    <t xml:space="preserve">Configuration des seuils de palier</t>
  </si>
  <si>
    <t xml:space="preserve">Configuration des seuils de fidélité</t>
  </si>
  <si>
    <t xml:space="preserve">PATCH /admin/loyalty/config/:tier</t>
  </si>
  <si>
    <t xml:space="preserve">LoyaltyTierConfig</t>
  </si>
  <si>
    <t xml:space="preserve">super_admin + 2FA récente</t>
  </si>
  <si>
    <t xml:space="preserve">Test permissions, test financier seuils</t>
  </si>
  <si>
    <t xml:space="preserve">REQ-P6-01</t>
  </si>
  <si>
    <t xml:space="preserve">CdC §12.1 ; UI/UX §4.15</t>
  </si>
  <si>
    <t xml:space="preserve">Mini-player persistant</t>
  </si>
  <si>
    <t xml:space="preserve">MiniPlayer</t>
  </si>
  <si>
    <t xml:space="preserve">GET /playback/:id/token</t>
  </si>
  <si>
    <t xml:space="preserve">PlaybackToken, Entitlement</t>
  </si>
  <si>
    <t xml:space="preserve">Connecté ou preview public</t>
  </si>
  <si>
    <t xml:space="preserve">Golden test MiniPlayer</t>
  </si>
  <si>
    <t xml:space="preserve">P6</t>
  </si>
  <si>
    <t xml:space="preserve">REQ-P6-02</t>
  </si>
  <si>
    <t xml:space="preserve">UI/UX §4.16</t>
  </si>
  <si>
    <t xml:space="preserve">Full player audio</t>
  </si>
  <si>
    <t xml:space="preserve">FullPlayerSheet</t>
  </si>
  <si>
    <t xml:space="preserve">GET /playback/:id/token, heartbeat</t>
  </si>
  <si>
    <t xml:space="preserve">PlaybackToken</t>
  </si>
  <si>
    <t xml:space="preserve">REQ-P6-03</t>
  </si>
  <si>
    <t xml:space="preserve">UI/UX §4.17</t>
  </si>
  <si>
    <t xml:space="preserve">Player vidéo (plein écran)</t>
  </si>
  <si>
    <t xml:space="preserve">VideoPlayerScreen</t>
  </si>
  <si>
    <t xml:space="preserve">GET /playback/:id/token (vidéo)</t>
  </si>
  <si>
    <t xml:space="preserve">Widget test, test anti-capture</t>
  </si>
  <si>
    <t xml:space="preserve">REQ-P6-04</t>
  </si>
  <si>
    <t xml:space="preserve">UI/UX §4.18</t>
  </si>
  <si>
    <t xml:space="preserve">Lecteur livre (pagination)</t>
  </si>
  <si>
    <t xml:space="preserve">BookReaderScreen</t>
  </si>
  <si>
    <t xml:space="preserve">GET /playback/:id/token (livre)</t>
  </si>
  <si>
    <t xml:space="preserve">Entitlement</t>
  </si>
  <si>
    <t xml:space="preserve">Connecté</t>
  </si>
  <si>
    <t xml:space="preserve">REQ-P7-01</t>
  </si>
  <si>
    <t xml:space="preserve">CdC §12.3 ; Engineering §9.7</t>
  </si>
  <si>
    <t xml:space="preserve">Téléchargement offline + licence chiffrée</t>
  </si>
  <si>
    <t xml:space="preserve">Mes achats (onglet Téléchargés)</t>
  </si>
  <si>
    <t xml:space="preserve">POST /offline/license</t>
  </si>
  <si>
    <t xml:space="preserve">OfflineLicense</t>
  </si>
  <si>
    <t xml:space="preserve">integration_test offline_download_flow</t>
  </si>
  <si>
    <t xml:space="preserve">P7</t>
  </si>
  <si>
    <t xml:space="preserve">REQ-P7-02</t>
  </si>
  <si>
    <t xml:space="preserve">Engineering §5.6.2</t>
  </si>
  <si>
    <t xml:space="preserve">Révocation de licence offline</t>
  </si>
  <si>
    <t xml:space="preserve">Fiche utilisateur (Sessions &amp; appareils)</t>
  </si>
  <si>
    <t xml:space="preserve">POST /offline/license/:id/revoke</t>
  </si>
  <si>
    <t xml:space="preserve">Utilisateur ou super_admin/support</t>
  </si>
  <si>
    <t xml:space="preserve">Test unitaire révocation</t>
  </si>
  <si>
    <t xml:space="preserve">REQ-P8-00a</t>
  </si>
  <si>
    <t xml:space="preserve">Back-Office §6.1</t>
  </si>
  <si>
    <t xml:space="preserve">Connexion admin (e-mail + mot de passe)</t>
  </si>
  <si>
    <t xml:space="preserve">Connexion admin</t>
  </si>
  <si>
    <t xml:space="preserve">POST /admin/auth/login</t>
  </si>
  <si>
    <t xml:space="preserve">AdminUser</t>
  </si>
  <si>
    <t xml:space="preserve">Test intégration NestJS</t>
  </si>
  <si>
    <t xml:space="preserve">P8 (prérequis)</t>
  </si>
  <si>
    <t xml:space="preserve">Corrigé V1.1</t>
  </si>
  <si>
    <t xml:space="preserve">REQ-P8-00b</t>
  </si>
  <si>
    <t xml:space="preserve">Back-Office §6.2 ; Addendum §1.3.2-3</t>
  </si>
  <si>
    <t xml:space="preserve">Enrôlement TOTP (QR code, confirmation)</t>
  </si>
  <si>
    <t xml:space="preserve">Enrôlement TOTP</t>
  </si>
  <si>
    <t xml:space="preserve">POST /admin/auth/2fa/setup, /confirm</t>
  </si>
  <si>
    <t xml:space="preserve">AdminUser, AdminRecoveryCode</t>
  </si>
  <si>
    <t xml:space="preserve">Post-login, sans TOTP actif</t>
  </si>
  <si>
    <t xml:space="preserve">Tests TOTP (nouveau)</t>
  </si>
  <si>
    <t xml:space="preserve">Nouveau V1.1</t>
  </si>
  <si>
    <t xml:space="preserve">REQ-P8-00c</t>
  </si>
  <si>
    <t xml:space="preserve">Back-Office §6.2bis ; Addendum §1.3.4</t>
  </si>
  <si>
    <t xml:space="preserve">Vérification TOTP à chaque connexion</t>
  </si>
  <si>
    <t xml:space="preserve">Vérification TOTP</t>
  </si>
  <si>
    <t xml:space="preserve">POST /admin/auth/2fa/verify</t>
  </si>
  <si>
    <t xml:space="preserve">AdminUser, AdminSession</t>
  </si>
  <si>
    <t xml:space="preserve">Post-login</t>
  </si>
  <si>
    <t xml:space="preserve">REQ-P8-00d</t>
  </si>
  <si>
    <t xml:space="preserve">Back-Office §6.2ter ; Addendum §1.3.5-6</t>
  </si>
  <si>
    <t xml:space="preserve">Codes de secours (génération, usage, régén.)</t>
  </si>
  <si>
    <t xml:space="preserve">Codes de secours</t>
  </si>
  <si>
    <t xml:space="preserve">POST /admin/auth/2fa/recovery-code, /regenerate</t>
  </si>
  <si>
    <t xml:space="preserve">AdminRecoveryCode</t>
  </si>
  <si>
    <t xml:space="preserve">Post-login / 2FA récente (régén.)</t>
  </si>
  <si>
    <t xml:space="preserve">REQ-P8-00e</t>
  </si>
  <si>
    <t xml:space="preserve">Back-Office §6.3</t>
  </si>
  <si>
    <t xml:space="preserve">Session expirée (admin)</t>
  </si>
  <si>
    <t xml:space="preserve">Session expirée</t>
  </si>
  <si>
    <t xml:space="preserve">Middleware (redirect, aucun appel API)</t>
  </si>
  <si>
    <t xml:space="preserve">AdminSession</t>
  </si>
  <si>
    <t xml:space="preserve">Tous rôles</t>
  </si>
  <si>
    <t xml:space="preserve">Test middleware</t>
  </si>
  <si>
    <t xml:space="preserve">REQ-P8-00f</t>
  </si>
  <si>
    <t xml:space="preserve">Back-Office §6.4 ; Addendum §1.3.7</t>
  </si>
  <si>
    <t xml:space="preserve">Récupération de compte admin (mot de passe)</t>
  </si>
  <si>
    <t xml:space="preserve">Récupération de compte</t>
  </si>
  <si>
    <t xml:space="preserve">POST /admin/auth/password/reset-request</t>
  </si>
  <si>
    <t xml:space="preserve">Test intégration</t>
  </si>
  <si>
    <t xml:space="preserve">REQ-P8-00g</t>
  </si>
  <si>
    <t xml:space="preserve">Back-Office §6.5</t>
  </si>
  <si>
    <t xml:space="preserve">Accès refusé (admin)</t>
  </si>
  <si>
    <t xml:space="preserve">Accès refusé</t>
  </si>
  <si>
    <t xml:space="preserve">403 sur toute route /admin/*</t>
  </si>
  <si>
    <t xml:space="preserve">Test permissions</t>
  </si>
  <si>
    <t xml:space="preserve">REQ-P8-01</t>
  </si>
  <si>
    <t xml:space="preserve">Back-Office §6.6 ; Addendum §3</t>
  </si>
  <si>
    <t xml:space="preserve">Dashboard admin (6 blocs indépendants)</t>
  </si>
  <si>
    <t xml:space="preserve">Tableau de bord</t>
  </si>
  <si>
    <t xml:space="preserve">GET /admin/dashboard/{kpis,sales-trend,security-alerts,top-content,top-artists,pending-payouts}</t>
  </si>
  <si>
    <t xml:space="preserve">Order, Payment, Payout, Content, SecurityLog</t>
  </si>
  <si>
    <t xml:space="preserve">Variable par bloc (cf. matrice RBAC §4.1 BO)</t>
  </si>
  <si>
    <t xml:space="preserve">Test permissions par bloc</t>
  </si>
  <si>
    <t xml:space="preserve">P8</t>
  </si>
  <si>
    <t xml:space="preserve">REQ-P8-02</t>
  </si>
  <si>
    <t xml:space="preserve">CdC §16.1 ; Back-Office §6.7</t>
  </si>
  <si>
    <t xml:space="preserve">Liste des utilisateurs (admin)</t>
  </si>
  <si>
    <t xml:space="preserve">Liste des utilisateurs</t>
  </si>
  <si>
    <t xml:space="preserve">GET /admin/users</t>
  </si>
  <si>
    <t xml:space="preserve">Test E2E</t>
  </si>
  <si>
    <t xml:space="preserve">REQ-P8-03</t>
  </si>
  <si>
    <t xml:space="preserve">Back-Office §6.8 ; Addendum §5</t>
  </si>
  <si>
    <t xml:space="preserve">Fiche utilisateur (détail, blocage, sessions)</t>
  </si>
  <si>
    <t xml:space="preserve">Fiche utilisateur</t>
  </si>
  <si>
    <t xml:space="preserve">GET /admin/users/:id, /orders, /sessions ; PATCH /status</t>
  </si>
  <si>
    <t xml:space="preserve">User, Order, Session</t>
  </si>
  <si>
    <t xml:space="preserve">Bloquer : super_admin, support + 2FA</t>
  </si>
  <si>
    <t xml:space="preserve">Test permissions, test blocage</t>
  </si>
  <si>
    <t xml:space="preserve">REQ-P8-04</t>
  </si>
  <si>
    <t xml:space="preserve">CdC §16.1 ; Back-Office §6.9</t>
  </si>
  <si>
    <t xml:space="preserve">Liste des artistes (admin)</t>
  </si>
  <si>
    <t xml:space="preserve">Liste des artistes</t>
  </si>
  <si>
    <t xml:space="preserve">GET /admin/artists</t>
  </si>
  <si>
    <t xml:space="preserve">ArtistProfile</t>
  </si>
  <si>
    <t xml:space="preserve">REQ-P8-05</t>
  </si>
  <si>
    <t xml:space="preserve">CdC §15.1 ; Engineering §5.9.1</t>
  </si>
  <si>
    <t xml:space="preserve">Création de compte artiste</t>
  </si>
  <si>
    <t xml:space="preserve">POST /admin/artists</t>
  </si>
  <si>
    <t xml:space="preserve">ArtistProfile, AdminUser</t>
  </si>
  <si>
    <t xml:space="preserve">super_admin, content_editor</t>
  </si>
  <si>
    <t xml:space="preserve">Playwright E2E (Engineering §11.6)</t>
  </si>
  <si>
    <t xml:space="preserve">REQ-P8-06</t>
  </si>
  <si>
    <t xml:space="preserve">Engineering §5.9.2 ; Back-Office §6.11 ; Addendum §5</t>
  </si>
  <si>
    <t xml:space="preserve">Fiche artiste (profil, commission, contenus, retraits)</t>
  </si>
  <si>
    <t xml:space="preserve">GET /admin/artists/:id, PATCH commission, /content, /payouts</t>
  </si>
  <si>
    <t xml:space="preserve">ArtistProfile, Content, Payout</t>
  </si>
  <si>
    <t xml:space="preserve">Commission : super_admin exclusivement + 2FA</t>
  </si>
  <si>
    <t xml:space="preserve">Test permissions, test financier commission</t>
  </si>
  <si>
    <t xml:space="preserve">REQ-P8-07</t>
  </si>
  <si>
    <t xml:space="preserve">CdC §8.6 ; Engineering §5.9.3 ; Back-Office §6.12</t>
  </si>
  <si>
    <t xml:space="preserve">Liste des contenus (tous statuts, admin)</t>
  </si>
  <si>
    <t xml:space="preserve">Liste des contenus</t>
  </si>
  <si>
    <t xml:space="preserve">GET /admin/content</t>
  </si>
  <si>
    <t xml:space="preserve">REQ-P8-08</t>
  </si>
  <si>
    <t xml:space="preserve">Engineering §5.9.3-4 ; Back-Office §6.13</t>
  </si>
  <si>
    <t xml:space="preserve">Création / édition / publication de contenu</t>
  </si>
  <si>
    <t xml:space="preserve">Création / édition de contenu</t>
  </si>
  <si>
    <t xml:space="preserve">POST /admin/content, PATCH /:id, /publish, /archive</t>
  </si>
  <si>
    <t xml:space="preserve">Content, Album, ContentCategory</t>
  </si>
  <si>
    <t xml:space="preserve">Playwright E2E création + publication</t>
  </si>
  <si>
    <t xml:space="preserve">REQ-P8-09</t>
  </si>
  <si>
    <t xml:space="preserve">CdC §15.2 ; UI/UX §4.24</t>
  </si>
  <si>
    <t xml:space="preserve">Espace artiste — dashboard lecture seule (mobile)</t>
  </si>
  <si>
    <t xml:space="preserve">ArtistDashboardScreen</t>
  </si>
  <si>
    <t xml:space="preserve">GET /artists/me/stats, /content</t>
  </si>
  <si>
    <t xml:space="preserve">Rôle artiste (lecture seule)</t>
  </si>
  <si>
    <t xml:space="preserve">REQ-P8-10</t>
  </si>
  <si>
    <t xml:space="preserve">UI/UX §4.24bis</t>
  </si>
  <si>
    <t xml:space="preserve">Statistiques artiste — détail (mobile)</t>
  </si>
  <si>
    <t xml:space="preserve">ArtistStatsDetailScreen</t>
  </si>
  <si>
    <t xml:space="preserve">GET /artists/me/stats?period=</t>
  </si>
  <si>
    <t xml:space="preserve">Payout, Content</t>
  </si>
  <si>
    <t xml:space="preserve">Rôle artiste</t>
  </si>
  <si>
    <t xml:space="preserve">REQ-P8-11</t>
  </si>
  <si>
    <t xml:space="preserve">CdC §15.4 ; UI/UX §4.25</t>
  </si>
  <si>
    <t xml:space="preserve">Demande de retrait (mobile, artiste)</t>
  </si>
  <si>
    <t xml:space="preserve">PayoutRequestSheet</t>
  </si>
  <si>
    <t xml:space="preserve">POST /artists/me/payouts</t>
  </si>
  <si>
    <t xml:space="preserve">Payout</t>
  </si>
  <si>
    <t xml:space="preserve">Rôle artiste + 2FA (OTP mobile)</t>
  </si>
  <si>
    <t xml:space="preserve">Widget test, test financier</t>
  </si>
  <si>
    <t xml:space="preserve">REQ-P9-01</t>
  </si>
  <si>
    <t xml:space="preserve">Back-Office §6.14-15 ; Addendum §5</t>
  </si>
  <si>
    <t xml:space="preserve">Commandes — liste + détail (admin)</t>
  </si>
  <si>
    <t xml:space="preserve">Liste des commandes, Détail commande</t>
  </si>
  <si>
    <t xml:space="preserve">GET /admin/orders, /:id, /:id/receipt</t>
  </si>
  <si>
    <t xml:space="preserve">super_admin, finance_manager, support</t>
  </si>
  <si>
    <t xml:space="preserve">P9</t>
  </si>
  <si>
    <t xml:space="preserve">REQ-P9-02</t>
  </si>
  <si>
    <t xml:space="preserve">Engineering §5.10.7 ; Back-Office §6.16</t>
  </si>
  <si>
    <t xml:space="preserve">Paiements — liste des transactions</t>
  </si>
  <si>
    <t xml:space="preserve">Liste des transactions</t>
  </si>
  <si>
    <t xml:space="preserve">GET /admin/payments</t>
  </si>
  <si>
    <t xml:space="preserve">super_admin, finance_manager</t>
  </si>
  <si>
    <t xml:space="preserve">Test financier</t>
  </si>
  <si>
    <t xml:space="preserve">REQ-P9-03</t>
  </si>
  <si>
    <t xml:space="preserve">Back-Office §6.17 ; Addendum §5</t>
  </si>
  <si>
    <t xml:space="preserve">Réconciliation (détail, retry, remboursement)</t>
  </si>
  <si>
    <t xml:space="preserve">Détail transaction / Réconciliation</t>
  </si>
  <si>
    <t xml:space="preserve">GET /admin/payments/:id, POST /retry, /refund</t>
  </si>
  <si>
    <t xml:space="preserve">super_admin, finance_manager + 2FA (remboursement)</t>
  </si>
  <si>
    <t xml:space="preserve">Test financier remboursement</t>
  </si>
  <si>
    <t xml:space="preserve">REQ-P9-04</t>
  </si>
  <si>
    <t xml:space="preserve">CdC §13.1 ; Engineering §5.4</t>
  </si>
  <si>
    <t xml:space="preserve">Intégration providers réels (Orange/Moov/Wave/Carte)</t>
  </si>
  <si>
    <t xml:space="preserve">Réconciliation</t>
  </si>
  <si>
    <t xml:space="preserve">POST /payments/initiate, webhook /payments/webhook/:provider</t>
  </si>
  <si>
    <t xml:space="preserve">Test sandbox provider</t>
  </si>
  <si>
    <t xml:space="preserve">REQ-P9-05</t>
  </si>
  <si>
    <t xml:space="preserve">Back-Office §6.18 ; Addendum §5</t>
  </si>
  <si>
    <t xml:space="preserve">Finance artistes — soldes &amp; commissions</t>
  </si>
  <si>
    <t xml:space="preserve">Soldes &amp; commissions</t>
  </si>
  <si>
    <t xml:space="preserve">GET /admin/artists (vue enrichie soldes)</t>
  </si>
  <si>
    <t xml:space="preserve">ArtistProfile, Payout</t>
  </si>
  <si>
    <t xml:space="preserve">REQ-P9-06</t>
  </si>
  <si>
    <t xml:space="preserve">Engineering §5.10.8 ; Back-Office §6.19</t>
  </si>
  <si>
    <t xml:space="preserve">Retraits artistes (approbation/rejet/paiement)</t>
  </si>
  <si>
    <t xml:space="preserve">Retraits</t>
  </si>
  <si>
    <t xml:space="preserve">GET /admin/payouts, PATCH /:id/status</t>
  </si>
  <si>
    <t xml:space="preserve">super_admin, finance_manager + 2FA</t>
  </si>
  <si>
    <t xml:space="preserve">Test financier machine à états</t>
  </si>
  <si>
    <t xml:space="preserve">REQ-P10-01</t>
  </si>
  <si>
    <t xml:space="preserve">CdC §17.1 ; Engineering §9.9</t>
  </si>
  <si>
    <t xml:space="preserve">Watermark dynamique (lecture protégée)</t>
  </si>
  <si>
    <t xml:space="preserve">FullPlayerSheet, VideoPlayerScreen</t>
  </si>
  <si>
    <t xml:space="preserve">Test manuel appareil réel</t>
  </si>
  <si>
    <t xml:space="preserve">P10</t>
  </si>
  <si>
    <t xml:space="preserve">REQ-P10-02</t>
  </si>
  <si>
    <t xml:space="preserve">CdC §17.1 ; Engineering §9.10</t>
  </si>
  <si>
    <t xml:space="preserve">Anti-capture d'écran</t>
  </si>
  <si>
    <t xml:space="preserve">REQ-P10-03</t>
  </si>
  <si>
    <t xml:space="preserve">UI/UX §4.21</t>
  </si>
  <si>
    <t xml:space="preserve">Sécurité &amp; Sessions (mobile)</t>
  </si>
  <si>
    <t xml:space="preserve">SecuritySettingsScreen</t>
  </si>
  <si>
    <t xml:space="preserve">GET /users/me/sessions, POST /auth/logout</t>
  </si>
  <si>
    <t xml:space="preserve">Session, Device</t>
  </si>
  <si>
    <t xml:space="preserve">REQ-P10-04</t>
  </si>
  <si>
    <t xml:space="preserve">CdC §17 ; Engineering §5.10.9 ; Back-Office §6.22</t>
  </si>
  <si>
    <t xml:space="preserve">Centre de sécurité (admin)</t>
  </si>
  <si>
    <t xml:space="preserve">Centre de sécurité</t>
  </si>
  <si>
    <t xml:space="preserve">GET /admin/security/logs</t>
  </si>
  <si>
    <t xml:space="preserve">SecurityLog, Device</t>
  </si>
  <si>
    <t xml:space="preserve">super_admin exclusivement</t>
  </si>
  <si>
    <t xml:space="preserve">REQ-P10-05</t>
  </si>
  <si>
    <t xml:space="preserve">CdC §16 ; Addendum §4</t>
  </si>
  <si>
    <t xml:space="preserve">Journal d'audit (admin)</t>
  </si>
  <si>
    <t xml:space="preserve">Journal d'audit</t>
  </si>
  <si>
    <t xml:space="preserve">GET /admin/audit-logs, /export</t>
  </si>
  <si>
    <t xml:space="preserve">AuditLog</t>
  </si>
  <si>
    <t xml:space="preserve">Test lecture seule stricte</t>
  </si>
  <si>
    <t xml:space="preserve">REQ-P10-06</t>
  </si>
  <si>
    <t xml:space="preserve">UI/UX §4.22</t>
  </si>
  <si>
    <t xml:space="preserve">Notifications (mobile)</t>
  </si>
  <si>
    <t xml:space="preserve">NotificationsScreen</t>
  </si>
  <si>
    <t xml:space="preserve">GET /notifications, PATCH /:id/read</t>
  </si>
  <si>
    <t xml:space="preserve">— (pas de modèle Prisma dédié listé)</t>
  </si>
  <si>
    <t xml:space="preserve">REQ-P10-07</t>
  </si>
  <si>
    <t xml:space="preserve">Back-Office §6.23-24 ; Addendum §5</t>
  </si>
  <si>
    <t xml:space="preserve">Notifications — historique &amp; création (admin)</t>
  </si>
  <si>
    <t xml:space="preserve">Historique &amp; envoi, Création de modèle</t>
  </si>
  <si>
    <t xml:space="preserve">GET/POST /admin/notifications</t>
  </si>
  <si>
    <t xml:space="preserve">Création : super_admin, content_editor, finance_manager</t>
  </si>
  <si>
    <t xml:space="preserve">REQ-P10-08</t>
  </si>
  <si>
    <t xml:space="preserve">CdC §16.1 ; Back-Office §6.25 ; Addendum §2.5</t>
  </si>
  <si>
    <t xml:space="preserve">Catalogue de référence + bannières éditoriales</t>
  </si>
  <si>
    <t xml:space="preserve">HomeScreen (consomme les bannières)</t>
  </si>
  <si>
    <t xml:space="preserve">Catalogue de référence</t>
  </si>
  <si>
    <t xml:space="preserve">GET/POST/PATCH /admin/categories, /banners</t>
  </si>
  <si>
    <t xml:space="preserve">Category, Banner</t>
  </si>
  <si>
    <t xml:space="preserve">Modif. : super_admin, content_editor</t>
  </si>
  <si>
    <t xml:space="preserve">REQ-P10-09</t>
  </si>
  <si>
    <t xml:space="preserve">CdC §16.1 ; Back-Office §6.26 ; Addendum §2.6</t>
  </si>
  <si>
    <t xml:space="preserve">Configuration plateforme (commission, seuils, providers)</t>
  </si>
  <si>
    <t xml:space="preserve">Configuration</t>
  </si>
  <si>
    <t xml:space="preserve">GET/PATCH /admin/config</t>
  </si>
  <si>
    <t xml:space="preserve">PlatformConfig</t>
  </si>
  <si>
    <t xml:space="preserve">super_admin + 2FA</t>
  </si>
  <si>
    <t xml:space="preserve">Test permissions, test financier commission par défaut</t>
  </si>
  <si>
    <t xml:space="preserve">Corrigé V1.1 (PlatformConfig nouveau)</t>
  </si>
  <si>
    <t xml:space="preserve">REQ-P10-10</t>
  </si>
  <si>
    <t xml:space="preserve">UI/UX §4.23</t>
  </si>
  <si>
    <t xml:space="preserve">Support (mobile)</t>
  </si>
  <si>
    <t xml:space="preserve">SupportScreen</t>
  </si>
  <si>
    <t xml:space="preserve">— (contenu statique)</t>
  </si>
  <si>
    <t xml:space="preserve">REQ-P11-01</t>
  </si>
  <si>
    <t xml:space="preserve">Engineering §11.6 ; Back-Office §12</t>
  </si>
  <si>
    <t xml:space="preserve">Suite E2E Playwright complète (web + admin)</t>
  </si>
  <si>
    <t xml:space="preserve">P11</t>
  </si>
  <si>
    <t xml:space="preserve">REQ-P11-02</t>
  </si>
  <si>
    <t xml:space="preserve">Engineering §11.2-3</t>
  </si>
  <si>
    <t xml:space="preserve">Tests widget + golden tests (Flutter)</t>
  </si>
  <si>
    <t xml:space="preserve">flutter_test, golden_toolkit</t>
  </si>
  <si>
    <t xml:space="preserve">REQ-P11-03</t>
  </si>
  <si>
    <t xml:space="preserve">Back-Office §12 ; Addendum</t>
  </si>
  <si>
    <t xml:space="preserve">Tests accessibilité + responsive (back-office)</t>
  </si>
  <si>
    <t xml:space="preserve">axe-core, Playwright multi-résolution</t>
  </si>
  <si>
    <t xml:space="preserve">REQ-P11-04</t>
  </si>
  <si>
    <t xml:space="preserve">CdC §22</t>
  </si>
  <si>
    <t xml:space="preserve">Critères d'acceptation MVP (vérification croisée)</t>
  </si>
  <si>
    <t xml:space="preserve">Recette manuelle + suites automatisées</t>
  </si>
  <si>
    <t xml:space="preserve">REQ-P12-01</t>
  </si>
  <si>
    <t xml:space="preserve">Engineering §12</t>
  </si>
  <si>
    <t xml:space="preserve">CI/CD (lint, typecheck, tests, build, migrations)</t>
  </si>
  <si>
    <t xml:space="preserve">Pipeline CI complet</t>
  </si>
  <si>
    <t xml:space="preserve">P12</t>
  </si>
  <si>
    <t xml:space="preserve">REQ-P12-02</t>
  </si>
  <si>
    <t xml:space="preserve">Engineering §2.9</t>
  </si>
  <si>
    <t xml:space="preserve">Monitoring cross-stack (trace ID commun, Sentry)</t>
  </si>
  <si>
    <t xml:space="preserve">Vérification Sentry en staging</t>
  </si>
  <si>
    <t xml:space="preserve">KORA+ — Résumé de la matrice de traçabilité</t>
  </si>
  <si>
    <t xml:space="preserve">Total des exigences tracées : 68</t>
  </si>
  <si>
    <t xml:space="preserve">Répartition par phase de roadmap</t>
  </si>
  <si>
    <t xml:space="preserve">Phase</t>
  </si>
  <si>
    <t xml:space="preserve">Nombre d'exigences</t>
  </si>
  <si>
    <t xml:space="preserve">Total</t>
  </si>
  <si>
    <t xml:space="preserve">Répartition par statut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</si>
</sst>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5F1E8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6161A"/>
      <name val="Arial"/>
      <family val="0"/>
      <charset val="1"/>
    </font>
    <font>
      <i val="true"/>
      <sz val="10"/>
      <color rgb="FF6B6E7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161A"/>
        <bgColor rgb="FF000000"/>
      </patternFill>
    </fill>
    <fill>
      <patternFill patternType="solid">
        <fgColor rgb="FFEAF3EC"/>
        <bgColor rgb="FFE8F0FC"/>
      </patternFill>
    </fill>
    <fill>
      <patternFill patternType="solid">
        <fgColor rgb="FFFDF3DC"/>
        <bgColor rgb="FFF5F1E8"/>
      </patternFill>
    </fill>
    <fill>
      <patternFill patternType="solid">
        <fgColor rgb="FFE8F0FC"/>
        <bgColor rgb="FFEAF3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4"/>
      </left>
      <right style="thin">
        <color rgb="FFD9D3C4"/>
      </right>
      <top style="thin">
        <color rgb="FFD9D3C4"/>
      </top>
      <bottom style="thin">
        <color rgb="FFD9D3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6161A"/>
          <bgColor rgb="FF000000"/>
        </patternFill>
      </fill>
    </dxf>
    <dxf>
      <fill>
        <patternFill patternType="solid">
          <fgColor rgb="FFE8F0FC"/>
          <bgColor rgb="FF000000"/>
        </patternFill>
      </fill>
    </dxf>
    <dxf>
      <fill>
        <patternFill patternType="solid">
          <fgColor rgb="FFEAF3EC"/>
          <bgColor rgb="FF000000"/>
        </patternFill>
      </fill>
    </dxf>
    <dxf>
      <fill>
        <patternFill patternType="solid">
          <fgColor rgb="FFFDF3DC"/>
          <bgColor rgb="FF000000"/>
        </patternFill>
      </fill>
    </dxf>
    <dxf>
      <fill>
        <patternFill patternType="solid">
          <fgColor rgb="FFF5F1E8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5F1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4"/>
      <rgbColor rgb="FF808080"/>
      <rgbColor rgb="FF9999FF"/>
      <rgbColor rgb="FF993366"/>
      <rgbColor rgb="FFFDF3DC"/>
      <rgbColor rgb="FFE8F0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E76"/>
      <rgbColor rgb="FF969696"/>
      <rgbColor rgb="FF003366"/>
      <rgbColor rgb="FF339966"/>
      <rgbColor rgb="FF16161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34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28"/>
    <col collapsed="false" customWidth="true" hidden="false" outlineLevel="0" max="10" min="10" style="0" width="14"/>
    <col collapsed="false" customWidth="true" hidden="false" outlineLevel="0" max="11" min="11" style="0" width="2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14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customFormat="false" ht="23.85" hidden="false" customHeight="false" outlineLevel="0" collapsed="false">
      <c r="A3" s="2" t="s">
        <v>20</v>
      </c>
      <c r="B3" s="2" t="s">
        <v>21</v>
      </c>
      <c r="C3" s="2" t="s">
        <v>22</v>
      </c>
      <c r="D3" s="2" t="s">
        <v>23</v>
      </c>
      <c r="E3" s="2" t="s">
        <v>14</v>
      </c>
      <c r="F3" s="2" t="s">
        <v>14</v>
      </c>
      <c r="G3" s="2" t="s">
        <v>14</v>
      </c>
      <c r="H3" s="2" t="s">
        <v>16</v>
      </c>
      <c r="I3" s="2" t="s">
        <v>24</v>
      </c>
      <c r="J3" s="2" t="s">
        <v>25</v>
      </c>
      <c r="K3" s="2" t="s">
        <v>19</v>
      </c>
    </row>
    <row r="4" customFormat="false" ht="23.85" hidden="false" customHeight="false" outlineLevel="0" collapsed="false">
      <c r="A4" s="2" t="s">
        <v>26</v>
      </c>
      <c r="B4" s="2" t="s">
        <v>27</v>
      </c>
      <c r="C4" s="2" t="s">
        <v>28</v>
      </c>
      <c r="D4" s="2" t="s">
        <v>14</v>
      </c>
      <c r="E4" s="2" t="s">
        <v>29</v>
      </c>
      <c r="F4" s="2" t="s">
        <v>14</v>
      </c>
      <c r="G4" s="2" t="s">
        <v>14</v>
      </c>
      <c r="H4" s="2" t="s">
        <v>16</v>
      </c>
      <c r="I4" s="2" t="s">
        <v>30</v>
      </c>
      <c r="J4" s="2" t="s">
        <v>25</v>
      </c>
      <c r="K4" s="2" t="s">
        <v>19</v>
      </c>
    </row>
    <row r="5" customFormat="false" ht="23.85" hidden="false" customHeight="false" outlineLevel="0" collapsed="false">
      <c r="A5" s="2" t="s">
        <v>31</v>
      </c>
      <c r="B5" s="2" t="s">
        <v>32</v>
      </c>
      <c r="C5" s="2" t="s">
        <v>33</v>
      </c>
      <c r="D5" s="2" t="s">
        <v>14</v>
      </c>
      <c r="E5" s="2" t="s">
        <v>14</v>
      </c>
      <c r="F5" s="2" t="s">
        <v>14</v>
      </c>
      <c r="G5" s="2" t="s">
        <v>34</v>
      </c>
      <c r="H5" s="2" t="s">
        <v>16</v>
      </c>
      <c r="I5" s="2" t="s">
        <v>35</v>
      </c>
      <c r="J5" s="2" t="s">
        <v>25</v>
      </c>
      <c r="K5" s="2" t="s">
        <v>19</v>
      </c>
    </row>
    <row r="6" customFormat="false" ht="23.85" hidden="false" customHeight="false" outlineLevel="0" collapsed="false">
      <c r="A6" s="3" t="s">
        <v>36</v>
      </c>
      <c r="B6" s="3" t="s">
        <v>37</v>
      </c>
      <c r="C6" s="3" t="s">
        <v>38</v>
      </c>
      <c r="D6" s="3" t="s">
        <v>39</v>
      </c>
      <c r="E6" s="3" t="s">
        <v>14</v>
      </c>
      <c r="F6" s="3" t="s">
        <v>40</v>
      </c>
      <c r="G6" s="3" t="s">
        <v>41</v>
      </c>
      <c r="H6" s="3" t="s">
        <v>42</v>
      </c>
      <c r="I6" s="3" t="s">
        <v>43</v>
      </c>
      <c r="J6" s="3" t="s">
        <v>44</v>
      </c>
      <c r="K6" s="3" t="s">
        <v>45</v>
      </c>
    </row>
    <row r="7" customFormat="false" ht="15" hidden="false" customHeight="false" outlineLevel="0" collapsed="false">
      <c r="A7" s="2" t="s">
        <v>46</v>
      </c>
      <c r="B7" s="2" t="s">
        <v>47</v>
      </c>
      <c r="C7" s="2" t="s">
        <v>48</v>
      </c>
      <c r="D7" s="2" t="s">
        <v>49</v>
      </c>
      <c r="E7" s="2" t="s">
        <v>14</v>
      </c>
      <c r="F7" s="2" t="s">
        <v>50</v>
      </c>
      <c r="G7" s="2" t="s">
        <v>51</v>
      </c>
      <c r="H7" s="2" t="s">
        <v>42</v>
      </c>
      <c r="I7" s="2" t="s">
        <v>52</v>
      </c>
      <c r="J7" s="2" t="s">
        <v>44</v>
      </c>
      <c r="K7" s="2" t="s">
        <v>19</v>
      </c>
    </row>
    <row r="8" customFormat="false" ht="15" hidden="false" customHeight="false" outlineLevel="0" collapsed="false">
      <c r="A8" s="2" t="s">
        <v>53</v>
      </c>
      <c r="B8" s="2" t="s">
        <v>54</v>
      </c>
      <c r="C8" s="2" t="s">
        <v>55</v>
      </c>
      <c r="D8" s="2" t="s">
        <v>56</v>
      </c>
      <c r="E8" s="2" t="s">
        <v>14</v>
      </c>
      <c r="F8" s="2" t="s">
        <v>57</v>
      </c>
      <c r="G8" s="2" t="s">
        <v>51</v>
      </c>
      <c r="H8" s="2" t="s">
        <v>42</v>
      </c>
      <c r="I8" s="2" t="s">
        <v>52</v>
      </c>
      <c r="J8" s="2" t="s">
        <v>44</v>
      </c>
      <c r="K8" s="2" t="s">
        <v>19</v>
      </c>
    </row>
    <row r="9" customFormat="false" ht="23.85" hidden="false" customHeight="false" outlineLevel="0" collapsed="false">
      <c r="A9" s="2" t="s">
        <v>58</v>
      </c>
      <c r="B9" s="2" t="s">
        <v>59</v>
      </c>
      <c r="C9" s="2" t="s">
        <v>60</v>
      </c>
      <c r="D9" s="2" t="s">
        <v>61</v>
      </c>
      <c r="E9" s="2" t="s">
        <v>14</v>
      </c>
      <c r="F9" s="2" t="s">
        <v>62</v>
      </c>
      <c r="G9" s="2" t="s">
        <v>63</v>
      </c>
      <c r="H9" s="2" t="s">
        <v>64</v>
      </c>
      <c r="I9" s="2" t="s">
        <v>65</v>
      </c>
      <c r="J9" s="2" t="s">
        <v>44</v>
      </c>
      <c r="K9" s="2" t="s">
        <v>19</v>
      </c>
    </row>
    <row r="10" customFormat="false" ht="15" hidden="false" customHeight="false" outlineLevel="0" collapsed="false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14</v>
      </c>
      <c r="F10" s="2" t="s">
        <v>70</v>
      </c>
      <c r="G10" s="2" t="s">
        <v>71</v>
      </c>
      <c r="H10" s="2" t="s">
        <v>42</v>
      </c>
      <c r="I10" s="2" t="s">
        <v>52</v>
      </c>
      <c r="J10" s="2" t="s">
        <v>44</v>
      </c>
      <c r="K10" s="2" t="s">
        <v>19</v>
      </c>
    </row>
    <row r="11" customFormat="false" ht="15" hidden="false" customHeight="false" outlineLevel="0" collapsed="false">
      <c r="A11" s="2" t="s">
        <v>72</v>
      </c>
      <c r="B11" s="2" t="s">
        <v>73</v>
      </c>
      <c r="C11" s="2" t="s">
        <v>74</v>
      </c>
      <c r="D11" s="2" t="s">
        <v>14</v>
      </c>
      <c r="E11" s="2" t="s">
        <v>14</v>
      </c>
      <c r="F11" s="2" t="s">
        <v>75</v>
      </c>
      <c r="G11" s="2" t="s">
        <v>76</v>
      </c>
      <c r="H11" s="2" t="s">
        <v>42</v>
      </c>
      <c r="I11" s="2" t="s">
        <v>77</v>
      </c>
      <c r="J11" s="2" t="s">
        <v>44</v>
      </c>
      <c r="K11" s="2" t="s">
        <v>19</v>
      </c>
    </row>
    <row r="12" customFormat="false" ht="23.85" hidden="false" customHeight="false" outlineLevel="0" collapsed="false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14</v>
      </c>
      <c r="F12" s="2" t="s">
        <v>82</v>
      </c>
      <c r="G12" s="2" t="s">
        <v>83</v>
      </c>
      <c r="H12" s="2" t="s">
        <v>42</v>
      </c>
      <c r="I12" s="2" t="s">
        <v>84</v>
      </c>
      <c r="J12" s="2" t="s">
        <v>85</v>
      </c>
      <c r="K12" s="2" t="s">
        <v>19</v>
      </c>
    </row>
    <row r="13" customFormat="false" ht="15" hidden="false" customHeight="false" outlineLevel="0" collapsed="false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14</v>
      </c>
      <c r="F13" s="2" t="s">
        <v>90</v>
      </c>
      <c r="G13" s="2" t="s">
        <v>91</v>
      </c>
      <c r="H13" s="2" t="s">
        <v>42</v>
      </c>
      <c r="I13" s="2" t="s">
        <v>52</v>
      </c>
      <c r="J13" s="2" t="s">
        <v>85</v>
      </c>
      <c r="K13" s="2" t="s">
        <v>19</v>
      </c>
    </row>
    <row r="14" customFormat="false" ht="23.85" hidden="false" customHeight="false" outlineLevel="0" collapsed="false">
      <c r="A14" s="2" t="s">
        <v>92</v>
      </c>
      <c r="B14" s="2" t="s">
        <v>93</v>
      </c>
      <c r="C14" s="2" t="s">
        <v>94</v>
      </c>
      <c r="D14" s="2" t="s">
        <v>95</v>
      </c>
      <c r="E14" s="2" t="s">
        <v>14</v>
      </c>
      <c r="F14" s="2" t="s">
        <v>96</v>
      </c>
      <c r="G14" s="2" t="s">
        <v>97</v>
      </c>
      <c r="H14" s="2" t="s">
        <v>42</v>
      </c>
      <c r="I14" s="2" t="s">
        <v>52</v>
      </c>
      <c r="J14" s="2" t="s">
        <v>85</v>
      </c>
      <c r="K14" s="2" t="s">
        <v>19</v>
      </c>
    </row>
    <row r="15" customFormat="false" ht="15" hidden="false" customHeight="false" outlineLevel="0" collapsed="false">
      <c r="A15" s="2" t="s">
        <v>98</v>
      </c>
      <c r="B15" s="2" t="s">
        <v>99</v>
      </c>
      <c r="C15" s="2" t="s">
        <v>100</v>
      </c>
      <c r="D15" s="2" t="s">
        <v>101</v>
      </c>
      <c r="E15" s="2" t="s">
        <v>14</v>
      </c>
      <c r="F15" s="2" t="s">
        <v>102</v>
      </c>
      <c r="G15" s="2" t="s">
        <v>91</v>
      </c>
      <c r="H15" s="2" t="s">
        <v>42</v>
      </c>
      <c r="I15" s="2" t="s">
        <v>52</v>
      </c>
      <c r="J15" s="2" t="s">
        <v>85</v>
      </c>
      <c r="K15" s="2" t="s">
        <v>19</v>
      </c>
    </row>
    <row r="16" customFormat="false" ht="23.85" hidden="false" customHeight="false" outlineLevel="0" collapsed="false">
      <c r="A16" s="2" t="s">
        <v>103</v>
      </c>
      <c r="B16" s="2" t="s">
        <v>104</v>
      </c>
      <c r="C16" s="2" t="s">
        <v>105</v>
      </c>
      <c r="D16" s="2" t="s">
        <v>106</v>
      </c>
      <c r="E16" s="2" t="s">
        <v>14</v>
      </c>
      <c r="F16" s="2" t="s">
        <v>107</v>
      </c>
      <c r="G16" s="2" t="s">
        <v>108</v>
      </c>
      <c r="H16" s="2" t="s">
        <v>109</v>
      </c>
      <c r="I16" s="2" t="s">
        <v>110</v>
      </c>
      <c r="J16" s="2" t="s">
        <v>85</v>
      </c>
      <c r="K16" s="2" t="s">
        <v>19</v>
      </c>
    </row>
    <row r="17" customFormat="false" ht="23.85" hidden="false" customHeight="false" outlineLevel="0" collapsed="false">
      <c r="A17" s="2" t="s">
        <v>111</v>
      </c>
      <c r="B17" s="2" t="s">
        <v>112</v>
      </c>
      <c r="C17" s="2" t="s">
        <v>113</v>
      </c>
      <c r="D17" s="2" t="s">
        <v>114</v>
      </c>
      <c r="E17" s="2" t="s">
        <v>14</v>
      </c>
      <c r="F17" s="2" t="s">
        <v>115</v>
      </c>
      <c r="G17" s="2" t="s">
        <v>116</v>
      </c>
      <c r="H17" s="2" t="s">
        <v>109</v>
      </c>
      <c r="I17" s="2" t="s">
        <v>117</v>
      </c>
      <c r="J17" s="2" t="s">
        <v>118</v>
      </c>
      <c r="K17" s="2" t="s">
        <v>19</v>
      </c>
    </row>
    <row r="18" customFormat="false" ht="15" hidden="false" customHeight="false" outlineLevel="0" collapsed="false">
      <c r="A18" s="2" t="s">
        <v>119</v>
      </c>
      <c r="B18" s="2" t="s">
        <v>120</v>
      </c>
      <c r="C18" s="2" t="s">
        <v>121</v>
      </c>
      <c r="D18" s="2" t="s">
        <v>122</v>
      </c>
      <c r="E18" s="2" t="s">
        <v>14</v>
      </c>
      <c r="F18" s="2" t="s">
        <v>123</v>
      </c>
      <c r="G18" s="2" t="s">
        <v>124</v>
      </c>
      <c r="H18" s="2" t="s">
        <v>109</v>
      </c>
      <c r="I18" s="2" t="s">
        <v>52</v>
      </c>
      <c r="J18" s="2" t="s">
        <v>118</v>
      </c>
      <c r="K18" s="2" t="s">
        <v>19</v>
      </c>
    </row>
    <row r="19" customFormat="false" ht="23.85" hidden="false" customHeight="false" outlineLevel="0" collapsed="false">
      <c r="A19" s="2" t="s">
        <v>125</v>
      </c>
      <c r="B19" s="2" t="s">
        <v>126</v>
      </c>
      <c r="C19" s="2" t="s">
        <v>127</v>
      </c>
      <c r="D19" s="2" t="s">
        <v>128</v>
      </c>
      <c r="E19" s="2" t="s">
        <v>14</v>
      </c>
      <c r="F19" s="2" t="s">
        <v>129</v>
      </c>
      <c r="G19" s="2" t="s">
        <v>130</v>
      </c>
      <c r="H19" s="2" t="s">
        <v>109</v>
      </c>
      <c r="I19" s="2" t="s">
        <v>52</v>
      </c>
      <c r="J19" s="2" t="s">
        <v>118</v>
      </c>
      <c r="K19" s="2" t="s">
        <v>19</v>
      </c>
    </row>
    <row r="20" customFormat="false" ht="15" hidden="false" customHeight="false" outlineLevel="0" collapsed="false">
      <c r="A20" s="2" t="s">
        <v>131</v>
      </c>
      <c r="B20" s="2" t="s">
        <v>132</v>
      </c>
      <c r="C20" s="2" t="s">
        <v>133</v>
      </c>
      <c r="D20" s="2" t="s">
        <v>134</v>
      </c>
      <c r="E20" s="2" t="s">
        <v>14</v>
      </c>
      <c r="F20" s="2" t="s">
        <v>135</v>
      </c>
      <c r="G20" s="2" t="s">
        <v>116</v>
      </c>
      <c r="H20" s="2" t="s">
        <v>109</v>
      </c>
      <c r="I20" s="2" t="s">
        <v>52</v>
      </c>
      <c r="J20" s="2" t="s">
        <v>118</v>
      </c>
      <c r="K20" s="2" t="s">
        <v>19</v>
      </c>
    </row>
    <row r="21" customFormat="false" ht="15" hidden="false" customHeight="false" outlineLevel="0" collapsed="false">
      <c r="A21" s="2" t="s">
        <v>136</v>
      </c>
      <c r="B21" s="2" t="s">
        <v>137</v>
      </c>
      <c r="C21" s="2" t="s">
        <v>138</v>
      </c>
      <c r="D21" s="2" t="s">
        <v>139</v>
      </c>
      <c r="E21" s="2" t="s">
        <v>14</v>
      </c>
      <c r="F21" s="2" t="s">
        <v>140</v>
      </c>
      <c r="G21" s="2" t="s">
        <v>141</v>
      </c>
      <c r="H21" s="2" t="s">
        <v>109</v>
      </c>
      <c r="I21" s="2" t="s">
        <v>52</v>
      </c>
      <c r="J21" s="2" t="s">
        <v>142</v>
      </c>
      <c r="K21" s="2" t="s">
        <v>19</v>
      </c>
    </row>
    <row r="22" customFormat="false" ht="35.05" hidden="false" customHeight="false" outlineLevel="0" collapsed="false">
      <c r="A22" s="2" t="s">
        <v>143</v>
      </c>
      <c r="B22" s="2" t="s">
        <v>144</v>
      </c>
      <c r="C22" s="2" t="s">
        <v>145</v>
      </c>
      <c r="D22" s="2" t="s">
        <v>14</v>
      </c>
      <c r="E22" s="2" t="s">
        <v>146</v>
      </c>
      <c r="F22" s="2" t="s">
        <v>147</v>
      </c>
      <c r="G22" s="2" t="s">
        <v>141</v>
      </c>
      <c r="H22" s="2" t="s">
        <v>148</v>
      </c>
      <c r="I22" s="2" t="s">
        <v>149</v>
      </c>
      <c r="J22" s="2" t="s">
        <v>142</v>
      </c>
      <c r="K22" s="2" t="s">
        <v>19</v>
      </c>
    </row>
    <row r="23" customFormat="false" ht="23.85" hidden="false" customHeight="false" outlineLevel="0" collapsed="false">
      <c r="A23" s="2" t="s">
        <v>150</v>
      </c>
      <c r="B23" s="2" t="s">
        <v>151</v>
      </c>
      <c r="C23" s="2" t="s">
        <v>152</v>
      </c>
      <c r="D23" s="2" t="s">
        <v>14</v>
      </c>
      <c r="E23" s="2" t="s">
        <v>153</v>
      </c>
      <c r="F23" s="2" t="s">
        <v>154</v>
      </c>
      <c r="G23" s="2" t="s">
        <v>155</v>
      </c>
      <c r="H23" s="2" t="s">
        <v>156</v>
      </c>
      <c r="I23" s="2" t="s">
        <v>157</v>
      </c>
      <c r="J23" s="2" t="s">
        <v>142</v>
      </c>
      <c r="K23" s="2" t="s">
        <v>19</v>
      </c>
    </row>
    <row r="24" customFormat="false" ht="23.85" hidden="false" customHeight="false" outlineLevel="0" collapsed="false">
      <c r="A24" s="2" t="s">
        <v>158</v>
      </c>
      <c r="B24" s="2" t="s">
        <v>159</v>
      </c>
      <c r="C24" s="2" t="s">
        <v>160</v>
      </c>
      <c r="D24" s="2" t="s">
        <v>161</v>
      </c>
      <c r="E24" s="2" t="s">
        <v>14</v>
      </c>
      <c r="F24" s="2" t="s">
        <v>162</v>
      </c>
      <c r="G24" s="2" t="s">
        <v>163</v>
      </c>
      <c r="H24" s="2" t="s">
        <v>164</v>
      </c>
      <c r="I24" s="2" t="s">
        <v>165</v>
      </c>
      <c r="J24" s="2" t="s">
        <v>166</v>
      </c>
      <c r="K24" s="2" t="s">
        <v>19</v>
      </c>
    </row>
    <row r="25" customFormat="false" ht="15" hidden="false" customHeight="false" outlineLevel="0" collapsed="false">
      <c r="A25" s="2" t="s">
        <v>167</v>
      </c>
      <c r="B25" s="2" t="s">
        <v>168</v>
      </c>
      <c r="C25" s="2" t="s">
        <v>169</v>
      </c>
      <c r="D25" s="2" t="s">
        <v>170</v>
      </c>
      <c r="E25" s="2" t="s">
        <v>14</v>
      </c>
      <c r="F25" s="2" t="s">
        <v>171</v>
      </c>
      <c r="G25" s="2" t="s">
        <v>172</v>
      </c>
      <c r="H25" s="2" t="s">
        <v>164</v>
      </c>
      <c r="I25" s="2" t="s">
        <v>52</v>
      </c>
      <c r="J25" s="2" t="s">
        <v>166</v>
      </c>
      <c r="K25" s="2" t="s">
        <v>19</v>
      </c>
    </row>
    <row r="26" customFormat="false" ht="15" hidden="false" customHeight="false" outlineLevel="0" collapsed="false">
      <c r="A26" s="2" t="s">
        <v>173</v>
      </c>
      <c r="B26" s="2" t="s">
        <v>174</v>
      </c>
      <c r="C26" s="2" t="s">
        <v>175</v>
      </c>
      <c r="D26" s="2" t="s">
        <v>176</v>
      </c>
      <c r="E26" s="2" t="s">
        <v>14</v>
      </c>
      <c r="F26" s="2" t="s">
        <v>177</v>
      </c>
      <c r="G26" s="2" t="s">
        <v>172</v>
      </c>
      <c r="H26" s="2" t="s">
        <v>164</v>
      </c>
      <c r="I26" s="2" t="s">
        <v>178</v>
      </c>
      <c r="J26" s="2" t="s">
        <v>166</v>
      </c>
      <c r="K26" s="2" t="s">
        <v>19</v>
      </c>
    </row>
    <row r="27" customFormat="false" ht="15" hidden="false" customHeight="false" outlineLevel="0" collapsed="false">
      <c r="A27" s="2" t="s">
        <v>179</v>
      </c>
      <c r="B27" s="2" t="s">
        <v>180</v>
      </c>
      <c r="C27" s="2" t="s">
        <v>181</v>
      </c>
      <c r="D27" s="2" t="s">
        <v>182</v>
      </c>
      <c r="E27" s="2" t="s">
        <v>14</v>
      </c>
      <c r="F27" s="2" t="s">
        <v>183</v>
      </c>
      <c r="G27" s="2" t="s">
        <v>184</v>
      </c>
      <c r="H27" s="2" t="s">
        <v>185</v>
      </c>
      <c r="I27" s="2" t="s">
        <v>52</v>
      </c>
      <c r="J27" s="2" t="s">
        <v>166</v>
      </c>
      <c r="K27" s="2" t="s">
        <v>19</v>
      </c>
    </row>
    <row r="28" customFormat="false" ht="23.85" hidden="false" customHeight="false" outlineLevel="0" collapsed="false">
      <c r="A28" s="2" t="s">
        <v>186</v>
      </c>
      <c r="B28" s="2" t="s">
        <v>187</v>
      </c>
      <c r="C28" s="2" t="s">
        <v>188</v>
      </c>
      <c r="D28" s="2" t="s">
        <v>189</v>
      </c>
      <c r="E28" s="2" t="s">
        <v>14</v>
      </c>
      <c r="F28" s="2" t="s">
        <v>190</v>
      </c>
      <c r="G28" s="2" t="s">
        <v>191</v>
      </c>
      <c r="H28" s="2" t="s">
        <v>109</v>
      </c>
      <c r="I28" s="2" t="s">
        <v>192</v>
      </c>
      <c r="J28" s="2" t="s">
        <v>193</v>
      </c>
      <c r="K28" s="2" t="s">
        <v>19</v>
      </c>
    </row>
    <row r="29" customFormat="false" ht="23.85" hidden="false" customHeight="false" outlineLevel="0" collapsed="false">
      <c r="A29" s="2" t="s">
        <v>194</v>
      </c>
      <c r="B29" s="2" t="s">
        <v>195</v>
      </c>
      <c r="C29" s="2" t="s">
        <v>196</v>
      </c>
      <c r="D29" s="2" t="s">
        <v>14</v>
      </c>
      <c r="E29" s="2" t="s">
        <v>197</v>
      </c>
      <c r="F29" s="2" t="s">
        <v>198</v>
      </c>
      <c r="G29" s="2" t="s">
        <v>191</v>
      </c>
      <c r="H29" s="2" t="s">
        <v>199</v>
      </c>
      <c r="I29" s="2" t="s">
        <v>200</v>
      </c>
      <c r="J29" s="2" t="s">
        <v>193</v>
      </c>
      <c r="K29" s="2" t="s">
        <v>19</v>
      </c>
    </row>
    <row r="30" customFormat="false" ht="23.85" hidden="false" customHeight="false" outlineLevel="0" collapsed="false">
      <c r="A30" s="3" t="s">
        <v>201</v>
      </c>
      <c r="B30" s="3" t="s">
        <v>202</v>
      </c>
      <c r="C30" s="3" t="s">
        <v>203</v>
      </c>
      <c r="D30" s="3" t="s">
        <v>14</v>
      </c>
      <c r="E30" s="3" t="s">
        <v>204</v>
      </c>
      <c r="F30" s="3" t="s">
        <v>205</v>
      </c>
      <c r="G30" s="3" t="s">
        <v>206</v>
      </c>
      <c r="H30" s="3" t="s">
        <v>42</v>
      </c>
      <c r="I30" s="3" t="s">
        <v>207</v>
      </c>
      <c r="J30" s="3" t="s">
        <v>208</v>
      </c>
      <c r="K30" s="3" t="s">
        <v>209</v>
      </c>
    </row>
    <row r="31" customFormat="false" ht="23.85" hidden="false" customHeight="false" outlineLevel="0" collapsed="false">
      <c r="A31" s="4" t="s">
        <v>210</v>
      </c>
      <c r="B31" s="4" t="s">
        <v>211</v>
      </c>
      <c r="C31" s="4" t="s">
        <v>212</v>
      </c>
      <c r="D31" s="4" t="s">
        <v>14</v>
      </c>
      <c r="E31" s="4" t="s">
        <v>213</v>
      </c>
      <c r="F31" s="4" t="s">
        <v>214</v>
      </c>
      <c r="G31" s="4" t="s">
        <v>215</v>
      </c>
      <c r="H31" s="4" t="s">
        <v>216</v>
      </c>
      <c r="I31" s="4" t="s">
        <v>217</v>
      </c>
      <c r="J31" s="4" t="s">
        <v>208</v>
      </c>
      <c r="K31" s="4" t="s">
        <v>218</v>
      </c>
    </row>
    <row r="32" customFormat="false" ht="23.85" hidden="false" customHeight="false" outlineLevel="0" collapsed="false">
      <c r="A32" s="3" t="s">
        <v>219</v>
      </c>
      <c r="B32" s="3" t="s">
        <v>220</v>
      </c>
      <c r="C32" s="3" t="s">
        <v>221</v>
      </c>
      <c r="D32" s="3" t="s">
        <v>14</v>
      </c>
      <c r="E32" s="3" t="s">
        <v>222</v>
      </c>
      <c r="F32" s="3" t="s">
        <v>223</v>
      </c>
      <c r="G32" s="3" t="s">
        <v>224</v>
      </c>
      <c r="H32" s="3" t="s">
        <v>225</v>
      </c>
      <c r="I32" s="3" t="s">
        <v>217</v>
      </c>
      <c r="J32" s="3" t="s">
        <v>208</v>
      </c>
      <c r="K32" s="3" t="s">
        <v>209</v>
      </c>
    </row>
    <row r="33" customFormat="false" ht="23.85" hidden="false" customHeight="false" outlineLevel="0" collapsed="false">
      <c r="A33" s="4" t="s">
        <v>226</v>
      </c>
      <c r="B33" s="4" t="s">
        <v>227</v>
      </c>
      <c r="C33" s="4" t="s">
        <v>228</v>
      </c>
      <c r="D33" s="4" t="s">
        <v>14</v>
      </c>
      <c r="E33" s="4" t="s">
        <v>229</v>
      </c>
      <c r="F33" s="4" t="s">
        <v>230</v>
      </c>
      <c r="G33" s="4" t="s">
        <v>231</v>
      </c>
      <c r="H33" s="4" t="s">
        <v>232</v>
      </c>
      <c r="I33" s="4" t="s">
        <v>217</v>
      </c>
      <c r="J33" s="4" t="s">
        <v>208</v>
      </c>
      <c r="K33" s="4" t="s">
        <v>218</v>
      </c>
    </row>
    <row r="34" customFormat="false" ht="15" hidden="false" customHeight="false" outlineLevel="0" collapsed="false">
      <c r="A34" s="2" t="s">
        <v>233</v>
      </c>
      <c r="B34" s="2" t="s">
        <v>234</v>
      </c>
      <c r="C34" s="2" t="s">
        <v>235</v>
      </c>
      <c r="D34" s="2" t="s">
        <v>14</v>
      </c>
      <c r="E34" s="2" t="s">
        <v>236</v>
      </c>
      <c r="F34" s="2" t="s">
        <v>237</v>
      </c>
      <c r="G34" s="2" t="s">
        <v>238</v>
      </c>
      <c r="H34" s="2" t="s">
        <v>239</v>
      </c>
      <c r="I34" s="2" t="s">
        <v>240</v>
      </c>
      <c r="J34" s="2" t="s">
        <v>208</v>
      </c>
      <c r="K34" s="2" t="s">
        <v>19</v>
      </c>
    </row>
    <row r="35" customFormat="false" ht="23.85" hidden="false" customHeight="false" outlineLevel="0" collapsed="false">
      <c r="A35" s="3" t="s">
        <v>241</v>
      </c>
      <c r="B35" s="3" t="s">
        <v>242</v>
      </c>
      <c r="C35" s="3" t="s">
        <v>243</v>
      </c>
      <c r="D35" s="3" t="s">
        <v>14</v>
      </c>
      <c r="E35" s="3" t="s">
        <v>244</v>
      </c>
      <c r="F35" s="3" t="s">
        <v>245</v>
      </c>
      <c r="G35" s="3" t="s">
        <v>206</v>
      </c>
      <c r="H35" s="3" t="s">
        <v>42</v>
      </c>
      <c r="I35" s="3" t="s">
        <v>246</v>
      </c>
      <c r="J35" s="3" t="s">
        <v>208</v>
      </c>
      <c r="K35" s="3" t="s">
        <v>209</v>
      </c>
    </row>
    <row r="36" customFormat="false" ht="15" hidden="false" customHeight="false" outlineLevel="0" collapsed="false">
      <c r="A36" s="2" t="s">
        <v>247</v>
      </c>
      <c r="B36" s="2" t="s">
        <v>248</v>
      </c>
      <c r="C36" s="2" t="s">
        <v>249</v>
      </c>
      <c r="D36" s="2" t="s">
        <v>14</v>
      </c>
      <c r="E36" s="2" t="s">
        <v>250</v>
      </c>
      <c r="F36" s="2" t="s">
        <v>251</v>
      </c>
      <c r="G36" s="2" t="s">
        <v>14</v>
      </c>
      <c r="H36" s="2" t="s">
        <v>239</v>
      </c>
      <c r="I36" s="2" t="s">
        <v>252</v>
      </c>
      <c r="J36" s="2" t="s">
        <v>208</v>
      </c>
      <c r="K36" s="2" t="s">
        <v>19</v>
      </c>
    </row>
    <row r="37" customFormat="false" ht="35.05" hidden="false" customHeight="false" outlineLevel="0" collapsed="false">
      <c r="A37" s="3" t="s">
        <v>253</v>
      </c>
      <c r="B37" s="3" t="s">
        <v>254</v>
      </c>
      <c r="C37" s="3" t="s">
        <v>255</v>
      </c>
      <c r="D37" s="3" t="s">
        <v>14</v>
      </c>
      <c r="E37" s="3" t="s">
        <v>256</v>
      </c>
      <c r="F37" s="3" t="s">
        <v>257</v>
      </c>
      <c r="G37" s="3" t="s">
        <v>258</v>
      </c>
      <c r="H37" s="3" t="s">
        <v>259</v>
      </c>
      <c r="I37" s="3" t="s">
        <v>260</v>
      </c>
      <c r="J37" s="3" t="s">
        <v>261</v>
      </c>
      <c r="K37" s="3" t="s">
        <v>209</v>
      </c>
    </row>
    <row r="38" customFormat="false" ht="23.85" hidden="false" customHeight="false" outlineLevel="0" collapsed="false">
      <c r="A38" s="2" t="s">
        <v>262</v>
      </c>
      <c r="B38" s="2" t="s">
        <v>263</v>
      </c>
      <c r="C38" s="2" t="s">
        <v>264</v>
      </c>
      <c r="D38" s="2" t="s">
        <v>14</v>
      </c>
      <c r="E38" s="2" t="s">
        <v>265</v>
      </c>
      <c r="F38" s="2" t="s">
        <v>266</v>
      </c>
      <c r="G38" s="2" t="s">
        <v>91</v>
      </c>
      <c r="H38" s="2" t="s">
        <v>239</v>
      </c>
      <c r="I38" s="2" t="s">
        <v>267</v>
      </c>
      <c r="J38" s="2" t="s">
        <v>261</v>
      </c>
      <c r="K38" s="2" t="s">
        <v>19</v>
      </c>
    </row>
    <row r="39" customFormat="false" ht="23.85" hidden="false" customHeight="false" outlineLevel="0" collapsed="false">
      <c r="A39" s="3" t="s">
        <v>268</v>
      </c>
      <c r="B39" s="3" t="s">
        <v>269</v>
      </c>
      <c r="C39" s="3" t="s">
        <v>270</v>
      </c>
      <c r="D39" s="3" t="s">
        <v>14</v>
      </c>
      <c r="E39" s="3" t="s">
        <v>271</v>
      </c>
      <c r="F39" s="3" t="s">
        <v>272</v>
      </c>
      <c r="G39" s="3" t="s">
        <v>273</v>
      </c>
      <c r="H39" s="3" t="s">
        <v>274</v>
      </c>
      <c r="I39" s="3" t="s">
        <v>275</v>
      </c>
      <c r="J39" s="3" t="s">
        <v>261</v>
      </c>
      <c r="K39" s="3" t="s">
        <v>209</v>
      </c>
    </row>
    <row r="40" customFormat="false" ht="23.85" hidden="false" customHeight="false" outlineLevel="0" collapsed="false">
      <c r="A40" s="2" t="s">
        <v>276</v>
      </c>
      <c r="B40" s="2" t="s">
        <v>277</v>
      </c>
      <c r="C40" s="2" t="s">
        <v>278</v>
      </c>
      <c r="D40" s="2" t="s">
        <v>14</v>
      </c>
      <c r="E40" s="2" t="s">
        <v>279</v>
      </c>
      <c r="F40" s="2" t="s">
        <v>280</v>
      </c>
      <c r="G40" s="2" t="s">
        <v>281</v>
      </c>
      <c r="H40" s="2" t="s">
        <v>239</v>
      </c>
      <c r="I40" s="2" t="s">
        <v>267</v>
      </c>
      <c r="J40" s="2" t="s">
        <v>261</v>
      </c>
      <c r="K40" s="2" t="s">
        <v>19</v>
      </c>
    </row>
    <row r="41" customFormat="false" ht="23.85" hidden="false" customHeight="false" outlineLevel="0" collapsed="false">
      <c r="A41" s="2" t="s">
        <v>282</v>
      </c>
      <c r="B41" s="2" t="s">
        <v>283</v>
      </c>
      <c r="C41" s="2" t="s">
        <v>284</v>
      </c>
      <c r="D41" s="2" t="s">
        <v>14</v>
      </c>
      <c r="E41" s="2" t="s">
        <v>284</v>
      </c>
      <c r="F41" s="2" t="s">
        <v>285</v>
      </c>
      <c r="G41" s="2" t="s">
        <v>286</v>
      </c>
      <c r="H41" s="2" t="s">
        <v>287</v>
      </c>
      <c r="I41" s="2" t="s">
        <v>288</v>
      </c>
      <c r="J41" s="2" t="s">
        <v>261</v>
      </c>
      <c r="K41" s="2" t="s">
        <v>19</v>
      </c>
    </row>
    <row r="42" customFormat="false" ht="35.05" hidden="false" customHeight="false" outlineLevel="0" collapsed="false">
      <c r="A42" s="3" t="s">
        <v>289</v>
      </c>
      <c r="B42" s="3" t="s">
        <v>290</v>
      </c>
      <c r="C42" s="3" t="s">
        <v>291</v>
      </c>
      <c r="D42" s="3" t="s">
        <v>14</v>
      </c>
      <c r="E42" s="3" t="s">
        <v>68</v>
      </c>
      <c r="F42" s="3" t="s">
        <v>292</v>
      </c>
      <c r="G42" s="3" t="s">
        <v>293</v>
      </c>
      <c r="H42" s="3" t="s">
        <v>294</v>
      </c>
      <c r="I42" s="3" t="s">
        <v>295</v>
      </c>
      <c r="J42" s="3" t="s">
        <v>261</v>
      </c>
      <c r="K42" s="3" t="s">
        <v>209</v>
      </c>
    </row>
    <row r="43" customFormat="false" ht="35.05" hidden="false" customHeight="false" outlineLevel="0" collapsed="false">
      <c r="A43" s="2" t="s">
        <v>296</v>
      </c>
      <c r="B43" s="2" t="s">
        <v>297</v>
      </c>
      <c r="C43" s="2" t="s">
        <v>298</v>
      </c>
      <c r="D43" s="2" t="s">
        <v>14</v>
      </c>
      <c r="E43" s="2" t="s">
        <v>299</v>
      </c>
      <c r="F43" s="2" t="s">
        <v>300</v>
      </c>
      <c r="G43" s="2" t="s">
        <v>76</v>
      </c>
      <c r="H43" s="2" t="s">
        <v>287</v>
      </c>
      <c r="I43" s="2" t="s">
        <v>267</v>
      </c>
      <c r="J43" s="2" t="s">
        <v>261</v>
      </c>
      <c r="K43" s="2" t="s">
        <v>19</v>
      </c>
    </row>
    <row r="44" customFormat="false" ht="23.85" hidden="false" customHeight="false" outlineLevel="0" collapsed="false">
      <c r="A44" s="2" t="s">
        <v>301</v>
      </c>
      <c r="B44" s="2" t="s">
        <v>302</v>
      </c>
      <c r="C44" s="2" t="s">
        <v>303</v>
      </c>
      <c r="D44" s="2" t="s">
        <v>14</v>
      </c>
      <c r="E44" s="2" t="s">
        <v>304</v>
      </c>
      <c r="F44" s="2" t="s">
        <v>305</v>
      </c>
      <c r="G44" s="2" t="s">
        <v>306</v>
      </c>
      <c r="H44" s="2" t="s">
        <v>287</v>
      </c>
      <c r="I44" s="2" t="s">
        <v>307</v>
      </c>
      <c r="J44" s="2" t="s">
        <v>261</v>
      </c>
      <c r="K44" s="2" t="s">
        <v>19</v>
      </c>
    </row>
    <row r="45" customFormat="false" ht="23.85" hidden="false" customHeight="false" outlineLevel="0" collapsed="false">
      <c r="A45" s="2" t="s">
        <v>308</v>
      </c>
      <c r="B45" s="2" t="s">
        <v>309</v>
      </c>
      <c r="C45" s="2" t="s">
        <v>310</v>
      </c>
      <c r="D45" s="2" t="s">
        <v>311</v>
      </c>
      <c r="E45" s="2" t="s">
        <v>14</v>
      </c>
      <c r="F45" s="2" t="s">
        <v>312</v>
      </c>
      <c r="G45" s="2" t="s">
        <v>293</v>
      </c>
      <c r="H45" s="2" t="s">
        <v>313</v>
      </c>
      <c r="I45" s="2" t="s">
        <v>52</v>
      </c>
      <c r="J45" s="2" t="s">
        <v>261</v>
      </c>
      <c r="K45" s="2" t="s">
        <v>19</v>
      </c>
    </row>
    <row r="46" customFormat="false" ht="15" hidden="false" customHeight="false" outlineLevel="0" collapsed="false">
      <c r="A46" s="2" t="s">
        <v>314</v>
      </c>
      <c r="B46" s="2" t="s">
        <v>315</v>
      </c>
      <c r="C46" s="2" t="s">
        <v>316</v>
      </c>
      <c r="D46" s="2" t="s">
        <v>317</v>
      </c>
      <c r="E46" s="2" t="s">
        <v>14</v>
      </c>
      <c r="F46" s="2" t="s">
        <v>318</v>
      </c>
      <c r="G46" s="2" t="s">
        <v>319</v>
      </c>
      <c r="H46" s="2" t="s">
        <v>320</v>
      </c>
      <c r="I46" s="2" t="s">
        <v>52</v>
      </c>
      <c r="J46" s="2" t="s">
        <v>261</v>
      </c>
      <c r="K46" s="2" t="s">
        <v>19</v>
      </c>
    </row>
    <row r="47" customFormat="false" ht="23.85" hidden="false" customHeight="false" outlineLevel="0" collapsed="false">
      <c r="A47" s="2" t="s">
        <v>321</v>
      </c>
      <c r="B47" s="2" t="s">
        <v>322</v>
      </c>
      <c r="C47" s="2" t="s">
        <v>323</v>
      </c>
      <c r="D47" s="2" t="s">
        <v>324</v>
      </c>
      <c r="E47" s="2" t="s">
        <v>14</v>
      </c>
      <c r="F47" s="2" t="s">
        <v>325</v>
      </c>
      <c r="G47" s="2" t="s">
        <v>326</v>
      </c>
      <c r="H47" s="2" t="s">
        <v>327</v>
      </c>
      <c r="I47" s="2" t="s">
        <v>328</v>
      </c>
      <c r="J47" s="2" t="s">
        <v>261</v>
      </c>
      <c r="K47" s="2" t="s">
        <v>19</v>
      </c>
    </row>
    <row r="48" customFormat="false" ht="23.85" hidden="false" customHeight="false" outlineLevel="0" collapsed="false">
      <c r="A48" s="3" t="s">
        <v>329</v>
      </c>
      <c r="B48" s="3" t="s">
        <v>330</v>
      </c>
      <c r="C48" s="3" t="s">
        <v>331</v>
      </c>
      <c r="D48" s="3" t="s">
        <v>14</v>
      </c>
      <c r="E48" s="3" t="s">
        <v>332</v>
      </c>
      <c r="F48" s="3" t="s">
        <v>333</v>
      </c>
      <c r="G48" s="3" t="s">
        <v>116</v>
      </c>
      <c r="H48" s="3" t="s">
        <v>334</v>
      </c>
      <c r="I48" s="3" t="s">
        <v>267</v>
      </c>
      <c r="J48" s="3" t="s">
        <v>335</v>
      </c>
      <c r="K48" s="3" t="s">
        <v>209</v>
      </c>
    </row>
    <row r="49" customFormat="false" ht="23.85" hidden="false" customHeight="false" outlineLevel="0" collapsed="false">
      <c r="A49" s="2" t="s">
        <v>336</v>
      </c>
      <c r="B49" s="2" t="s">
        <v>337</v>
      </c>
      <c r="C49" s="2" t="s">
        <v>338</v>
      </c>
      <c r="D49" s="2" t="s">
        <v>14</v>
      </c>
      <c r="E49" s="2" t="s">
        <v>339</v>
      </c>
      <c r="F49" s="2" t="s">
        <v>340</v>
      </c>
      <c r="G49" s="2" t="s">
        <v>124</v>
      </c>
      <c r="H49" s="2" t="s">
        <v>341</v>
      </c>
      <c r="I49" s="2" t="s">
        <v>342</v>
      </c>
      <c r="J49" s="2" t="s">
        <v>335</v>
      </c>
      <c r="K49" s="2" t="s">
        <v>19</v>
      </c>
    </row>
    <row r="50" customFormat="false" ht="23.85" hidden="false" customHeight="false" outlineLevel="0" collapsed="false">
      <c r="A50" s="3" t="s">
        <v>343</v>
      </c>
      <c r="B50" s="3" t="s">
        <v>344</v>
      </c>
      <c r="C50" s="3" t="s">
        <v>345</v>
      </c>
      <c r="D50" s="3" t="s">
        <v>14</v>
      </c>
      <c r="E50" s="3" t="s">
        <v>346</v>
      </c>
      <c r="F50" s="3" t="s">
        <v>347</v>
      </c>
      <c r="G50" s="3" t="s">
        <v>124</v>
      </c>
      <c r="H50" s="3" t="s">
        <v>348</v>
      </c>
      <c r="I50" s="3" t="s">
        <v>349</v>
      </c>
      <c r="J50" s="3" t="s">
        <v>335</v>
      </c>
      <c r="K50" s="3" t="s">
        <v>209</v>
      </c>
    </row>
    <row r="51" customFormat="false" ht="23.85" hidden="false" customHeight="false" outlineLevel="0" collapsed="false">
      <c r="A51" s="2" t="s">
        <v>350</v>
      </c>
      <c r="B51" s="2" t="s">
        <v>351</v>
      </c>
      <c r="C51" s="2" t="s">
        <v>352</v>
      </c>
      <c r="D51" s="2" t="s">
        <v>114</v>
      </c>
      <c r="E51" s="2" t="s">
        <v>353</v>
      </c>
      <c r="F51" s="2" t="s">
        <v>354</v>
      </c>
      <c r="G51" s="2" t="s">
        <v>124</v>
      </c>
      <c r="H51" s="2" t="s">
        <v>109</v>
      </c>
      <c r="I51" s="2" t="s">
        <v>355</v>
      </c>
      <c r="J51" s="2" t="s">
        <v>335</v>
      </c>
      <c r="K51" s="2" t="s">
        <v>19</v>
      </c>
    </row>
    <row r="52" customFormat="false" ht="23.85" hidden="false" customHeight="false" outlineLevel="0" collapsed="false">
      <c r="A52" s="2" t="s">
        <v>356</v>
      </c>
      <c r="B52" s="2" t="s">
        <v>357</v>
      </c>
      <c r="C52" s="2" t="s">
        <v>358</v>
      </c>
      <c r="D52" s="2" t="s">
        <v>14</v>
      </c>
      <c r="E52" s="2" t="s">
        <v>359</v>
      </c>
      <c r="F52" s="2" t="s">
        <v>360</v>
      </c>
      <c r="G52" s="2" t="s">
        <v>361</v>
      </c>
      <c r="H52" s="2" t="s">
        <v>341</v>
      </c>
      <c r="I52" s="2" t="s">
        <v>267</v>
      </c>
      <c r="J52" s="2" t="s">
        <v>335</v>
      </c>
      <c r="K52" s="2" t="s">
        <v>19</v>
      </c>
    </row>
    <row r="53" customFormat="false" ht="23.85" hidden="false" customHeight="false" outlineLevel="0" collapsed="false">
      <c r="A53" s="2" t="s">
        <v>362</v>
      </c>
      <c r="B53" s="2" t="s">
        <v>363</v>
      </c>
      <c r="C53" s="2" t="s">
        <v>364</v>
      </c>
      <c r="D53" s="2" t="s">
        <v>14</v>
      </c>
      <c r="E53" s="2" t="s">
        <v>365</v>
      </c>
      <c r="F53" s="2" t="s">
        <v>366</v>
      </c>
      <c r="G53" s="2" t="s">
        <v>326</v>
      </c>
      <c r="H53" s="2" t="s">
        <v>367</v>
      </c>
      <c r="I53" s="2" t="s">
        <v>368</v>
      </c>
      <c r="J53" s="2" t="s">
        <v>335</v>
      </c>
      <c r="K53" s="2" t="s">
        <v>19</v>
      </c>
    </row>
    <row r="54" customFormat="false" ht="23.85" hidden="false" customHeight="false" outlineLevel="0" collapsed="false">
      <c r="A54" s="2" t="s">
        <v>369</v>
      </c>
      <c r="B54" s="2" t="s">
        <v>370</v>
      </c>
      <c r="C54" s="2" t="s">
        <v>371</v>
      </c>
      <c r="D54" s="2" t="s">
        <v>372</v>
      </c>
      <c r="E54" s="2" t="s">
        <v>14</v>
      </c>
      <c r="F54" s="2" t="s">
        <v>14</v>
      </c>
      <c r="G54" s="2" t="s">
        <v>14</v>
      </c>
      <c r="H54" s="2" t="s">
        <v>185</v>
      </c>
      <c r="I54" s="2" t="s">
        <v>373</v>
      </c>
      <c r="J54" s="2" t="s">
        <v>374</v>
      </c>
      <c r="K54" s="2" t="s">
        <v>19</v>
      </c>
    </row>
    <row r="55" customFormat="false" ht="23.85" hidden="false" customHeight="false" outlineLevel="0" collapsed="false">
      <c r="A55" s="2" t="s">
        <v>375</v>
      </c>
      <c r="B55" s="2" t="s">
        <v>376</v>
      </c>
      <c r="C55" s="2" t="s">
        <v>377</v>
      </c>
      <c r="D55" s="2" t="s">
        <v>372</v>
      </c>
      <c r="E55" s="2" t="s">
        <v>14</v>
      </c>
      <c r="F55" s="2" t="s">
        <v>14</v>
      </c>
      <c r="G55" s="2" t="s">
        <v>14</v>
      </c>
      <c r="H55" s="2" t="s">
        <v>185</v>
      </c>
      <c r="I55" s="2" t="s">
        <v>373</v>
      </c>
      <c r="J55" s="2" t="s">
        <v>374</v>
      </c>
      <c r="K55" s="2" t="s">
        <v>19</v>
      </c>
    </row>
    <row r="56" customFormat="false" ht="23.85" hidden="false" customHeight="false" outlineLevel="0" collapsed="false">
      <c r="A56" s="2" t="s">
        <v>378</v>
      </c>
      <c r="B56" s="2" t="s">
        <v>379</v>
      </c>
      <c r="C56" s="2" t="s">
        <v>380</v>
      </c>
      <c r="D56" s="2" t="s">
        <v>381</v>
      </c>
      <c r="E56" s="2" t="s">
        <v>14</v>
      </c>
      <c r="F56" s="2" t="s">
        <v>382</v>
      </c>
      <c r="G56" s="2" t="s">
        <v>383</v>
      </c>
      <c r="H56" s="2" t="s">
        <v>109</v>
      </c>
      <c r="I56" s="2" t="s">
        <v>52</v>
      </c>
      <c r="J56" s="2" t="s">
        <v>374</v>
      </c>
      <c r="K56" s="2" t="s">
        <v>19</v>
      </c>
    </row>
    <row r="57" customFormat="false" ht="35.05" hidden="false" customHeight="false" outlineLevel="0" collapsed="false">
      <c r="A57" s="2" t="s">
        <v>384</v>
      </c>
      <c r="B57" s="2" t="s">
        <v>385</v>
      </c>
      <c r="C57" s="2" t="s">
        <v>386</v>
      </c>
      <c r="D57" s="2" t="s">
        <v>14</v>
      </c>
      <c r="E57" s="2" t="s">
        <v>387</v>
      </c>
      <c r="F57" s="2" t="s">
        <v>388</v>
      </c>
      <c r="G57" s="2" t="s">
        <v>389</v>
      </c>
      <c r="H57" s="2" t="s">
        <v>390</v>
      </c>
      <c r="I57" s="2" t="s">
        <v>252</v>
      </c>
      <c r="J57" s="2" t="s">
        <v>374</v>
      </c>
      <c r="K57" s="2" t="s">
        <v>19</v>
      </c>
    </row>
    <row r="58" customFormat="false" ht="23.85" hidden="false" customHeight="false" outlineLevel="0" collapsed="false">
      <c r="A58" s="3" t="s">
        <v>391</v>
      </c>
      <c r="B58" s="3" t="s">
        <v>392</v>
      </c>
      <c r="C58" s="3" t="s">
        <v>393</v>
      </c>
      <c r="D58" s="3" t="s">
        <v>14</v>
      </c>
      <c r="E58" s="3" t="s">
        <v>394</v>
      </c>
      <c r="F58" s="3" t="s">
        <v>395</v>
      </c>
      <c r="G58" s="3" t="s">
        <v>396</v>
      </c>
      <c r="H58" s="3" t="s">
        <v>390</v>
      </c>
      <c r="I58" s="3" t="s">
        <v>397</v>
      </c>
      <c r="J58" s="3" t="s">
        <v>374</v>
      </c>
      <c r="K58" s="3" t="s">
        <v>209</v>
      </c>
    </row>
    <row r="59" customFormat="false" ht="23.85" hidden="false" customHeight="false" outlineLevel="0" collapsed="false">
      <c r="A59" s="2" t="s">
        <v>398</v>
      </c>
      <c r="B59" s="2" t="s">
        <v>399</v>
      </c>
      <c r="C59" s="2" t="s">
        <v>400</v>
      </c>
      <c r="D59" s="2" t="s">
        <v>401</v>
      </c>
      <c r="E59" s="2" t="s">
        <v>14</v>
      </c>
      <c r="F59" s="2" t="s">
        <v>402</v>
      </c>
      <c r="G59" s="2" t="s">
        <v>403</v>
      </c>
      <c r="H59" s="2" t="s">
        <v>109</v>
      </c>
      <c r="I59" s="2" t="s">
        <v>52</v>
      </c>
      <c r="J59" s="2" t="s">
        <v>374</v>
      </c>
      <c r="K59" s="2" t="s">
        <v>19</v>
      </c>
    </row>
    <row r="60" customFormat="false" ht="35.05" hidden="false" customHeight="false" outlineLevel="0" collapsed="false">
      <c r="A60" s="3" t="s">
        <v>404</v>
      </c>
      <c r="B60" s="3" t="s">
        <v>405</v>
      </c>
      <c r="C60" s="3" t="s">
        <v>406</v>
      </c>
      <c r="D60" s="3" t="s">
        <v>14</v>
      </c>
      <c r="E60" s="3" t="s">
        <v>407</v>
      </c>
      <c r="F60" s="3" t="s">
        <v>408</v>
      </c>
      <c r="G60" s="3" t="s">
        <v>14</v>
      </c>
      <c r="H60" s="3" t="s">
        <v>409</v>
      </c>
      <c r="I60" s="3" t="s">
        <v>267</v>
      </c>
      <c r="J60" s="3" t="s">
        <v>374</v>
      </c>
      <c r="K60" s="3" t="s">
        <v>209</v>
      </c>
    </row>
    <row r="61" customFormat="false" ht="35.05" hidden="false" customHeight="false" outlineLevel="0" collapsed="false">
      <c r="A61" s="3" t="s">
        <v>410</v>
      </c>
      <c r="B61" s="3" t="s">
        <v>411</v>
      </c>
      <c r="C61" s="3" t="s">
        <v>412</v>
      </c>
      <c r="D61" s="3" t="s">
        <v>413</v>
      </c>
      <c r="E61" s="3" t="s">
        <v>414</v>
      </c>
      <c r="F61" s="3" t="s">
        <v>415</v>
      </c>
      <c r="G61" s="3" t="s">
        <v>416</v>
      </c>
      <c r="H61" s="3" t="s">
        <v>417</v>
      </c>
      <c r="I61" s="3" t="s">
        <v>267</v>
      </c>
      <c r="J61" s="3" t="s">
        <v>374</v>
      </c>
      <c r="K61" s="3" t="s">
        <v>45</v>
      </c>
    </row>
    <row r="62" customFormat="false" ht="35.05" hidden="false" customHeight="false" outlineLevel="0" collapsed="false">
      <c r="A62" s="3" t="s">
        <v>418</v>
      </c>
      <c r="B62" s="3" t="s">
        <v>419</v>
      </c>
      <c r="C62" s="3" t="s">
        <v>420</v>
      </c>
      <c r="D62" s="3" t="s">
        <v>14</v>
      </c>
      <c r="E62" s="3" t="s">
        <v>421</v>
      </c>
      <c r="F62" s="3" t="s">
        <v>422</v>
      </c>
      <c r="G62" s="3" t="s">
        <v>423</v>
      </c>
      <c r="H62" s="3" t="s">
        <v>424</v>
      </c>
      <c r="I62" s="3" t="s">
        <v>425</v>
      </c>
      <c r="J62" s="3" t="s">
        <v>374</v>
      </c>
      <c r="K62" s="3" t="s">
        <v>426</v>
      </c>
    </row>
    <row r="63" customFormat="false" ht="15" hidden="false" customHeight="false" outlineLevel="0" collapsed="false">
      <c r="A63" s="2" t="s">
        <v>427</v>
      </c>
      <c r="B63" s="2" t="s">
        <v>428</v>
      </c>
      <c r="C63" s="2" t="s">
        <v>429</v>
      </c>
      <c r="D63" s="2" t="s">
        <v>430</v>
      </c>
      <c r="E63" s="2" t="s">
        <v>14</v>
      </c>
      <c r="F63" s="2" t="s">
        <v>431</v>
      </c>
      <c r="G63" s="2" t="s">
        <v>14</v>
      </c>
      <c r="H63" s="2" t="s">
        <v>109</v>
      </c>
      <c r="I63" s="2" t="s">
        <v>52</v>
      </c>
      <c r="J63" s="2" t="s">
        <v>374</v>
      </c>
      <c r="K63" s="2" t="s">
        <v>19</v>
      </c>
    </row>
    <row r="64" customFormat="false" ht="23.85" hidden="false" customHeight="false" outlineLevel="0" collapsed="false">
      <c r="A64" s="2" t="s">
        <v>432</v>
      </c>
      <c r="B64" s="2" t="s">
        <v>433</v>
      </c>
      <c r="C64" s="2" t="s">
        <v>434</v>
      </c>
      <c r="D64" s="2" t="s">
        <v>14</v>
      </c>
      <c r="E64" s="2" t="s">
        <v>29</v>
      </c>
      <c r="F64" s="2" t="s">
        <v>14</v>
      </c>
      <c r="G64" s="2" t="s">
        <v>14</v>
      </c>
      <c r="H64" s="2" t="s">
        <v>16</v>
      </c>
      <c r="I64" s="2" t="s">
        <v>77</v>
      </c>
      <c r="J64" s="2" t="s">
        <v>435</v>
      </c>
      <c r="K64" s="2" t="s">
        <v>19</v>
      </c>
    </row>
    <row r="65" customFormat="false" ht="15" hidden="false" customHeight="false" outlineLevel="0" collapsed="false">
      <c r="A65" s="2" t="s">
        <v>436</v>
      </c>
      <c r="B65" s="2" t="s">
        <v>437</v>
      </c>
      <c r="C65" s="2" t="s">
        <v>438</v>
      </c>
      <c r="D65" s="2" t="s">
        <v>23</v>
      </c>
      <c r="E65" s="2" t="s">
        <v>14</v>
      </c>
      <c r="F65" s="2" t="s">
        <v>14</v>
      </c>
      <c r="G65" s="2" t="s">
        <v>14</v>
      </c>
      <c r="H65" s="2" t="s">
        <v>16</v>
      </c>
      <c r="I65" s="2" t="s">
        <v>439</v>
      </c>
      <c r="J65" s="2" t="s">
        <v>435</v>
      </c>
      <c r="K65" s="2" t="s">
        <v>19</v>
      </c>
    </row>
    <row r="66" customFormat="false" ht="23.85" hidden="false" customHeight="false" outlineLevel="0" collapsed="false">
      <c r="A66" s="2" t="s">
        <v>440</v>
      </c>
      <c r="B66" s="2" t="s">
        <v>441</v>
      </c>
      <c r="C66" s="2" t="s">
        <v>442</v>
      </c>
      <c r="D66" s="2" t="s">
        <v>14</v>
      </c>
      <c r="E66" s="2" t="s">
        <v>29</v>
      </c>
      <c r="F66" s="2" t="s">
        <v>14</v>
      </c>
      <c r="G66" s="2" t="s">
        <v>14</v>
      </c>
      <c r="H66" s="2" t="s">
        <v>16</v>
      </c>
      <c r="I66" s="2" t="s">
        <v>443</v>
      </c>
      <c r="J66" s="2" t="s">
        <v>435</v>
      </c>
      <c r="K66" s="2" t="s">
        <v>19</v>
      </c>
    </row>
    <row r="67" customFormat="false" ht="23.85" hidden="false" customHeight="false" outlineLevel="0" collapsed="false">
      <c r="A67" s="2" t="s">
        <v>444</v>
      </c>
      <c r="B67" s="2" t="s">
        <v>445</v>
      </c>
      <c r="C67" s="2" t="s">
        <v>446</v>
      </c>
      <c r="D67" s="2" t="s">
        <v>23</v>
      </c>
      <c r="E67" s="2" t="s">
        <v>29</v>
      </c>
      <c r="F67" s="2" t="s">
        <v>14</v>
      </c>
      <c r="G67" s="2" t="s">
        <v>14</v>
      </c>
      <c r="H67" s="2" t="s">
        <v>16</v>
      </c>
      <c r="I67" s="2" t="s">
        <v>447</v>
      </c>
      <c r="J67" s="2" t="s">
        <v>435</v>
      </c>
      <c r="K67" s="2" t="s">
        <v>19</v>
      </c>
    </row>
    <row r="68" customFormat="false" ht="23.85" hidden="false" customHeight="false" outlineLevel="0" collapsed="false">
      <c r="A68" s="2" t="s">
        <v>448</v>
      </c>
      <c r="B68" s="2" t="s">
        <v>449</v>
      </c>
      <c r="C68" s="2" t="s">
        <v>450</v>
      </c>
      <c r="D68" s="2" t="s">
        <v>14</v>
      </c>
      <c r="E68" s="2" t="s">
        <v>14</v>
      </c>
      <c r="F68" s="2" t="s">
        <v>14</v>
      </c>
      <c r="G68" s="2" t="s">
        <v>14</v>
      </c>
      <c r="H68" s="2" t="s">
        <v>16</v>
      </c>
      <c r="I68" s="2" t="s">
        <v>451</v>
      </c>
      <c r="J68" s="2" t="s">
        <v>452</v>
      </c>
      <c r="K68" s="2" t="s">
        <v>19</v>
      </c>
    </row>
    <row r="69" customFormat="false" ht="23.85" hidden="false" customHeight="false" outlineLevel="0" collapsed="false">
      <c r="A69" s="2" t="s">
        <v>453</v>
      </c>
      <c r="B69" s="2" t="s">
        <v>454</v>
      </c>
      <c r="C69" s="2" t="s">
        <v>455</v>
      </c>
      <c r="D69" s="2" t="s">
        <v>14</v>
      </c>
      <c r="E69" s="2" t="s">
        <v>14</v>
      </c>
      <c r="F69" s="2" t="s">
        <v>14</v>
      </c>
      <c r="G69" s="2" t="s">
        <v>14</v>
      </c>
      <c r="H69" s="2" t="s">
        <v>16</v>
      </c>
      <c r="I69" s="2" t="s">
        <v>456</v>
      </c>
      <c r="J69" s="2" t="s">
        <v>452</v>
      </c>
      <c r="K69" s="2" t="s">
        <v>19</v>
      </c>
    </row>
  </sheetData>
  <autoFilter ref="A1:K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5" t="s">
        <v>457</v>
      </c>
    </row>
    <row r="2" customFormat="false" ht="15" hidden="false" customHeight="false" outlineLevel="0" collapsed="false">
      <c r="A2" s="6" t="s">
        <v>458</v>
      </c>
    </row>
    <row r="4" customFormat="false" ht="15" hidden="false" customHeight="false" outlineLevel="0" collapsed="false">
      <c r="A4" s="7" t="s">
        <v>459</v>
      </c>
    </row>
    <row r="5" customFormat="false" ht="15" hidden="false" customHeight="false" outlineLevel="0" collapsed="false">
      <c r="A5" s="8" t="s">
        <v>460</v>
      </c>
      <c r="B5" s="8" t="s">
        <v>461</v>
      </c>
    </row>
    <row r="6" customFormat="false" ht="15" hidden="false" customHeight="false" outlineLevel="0" collapsed="false">
      <c r="A6" s="9" t="s">
        <v>18</v>
      </c>
      <c r="B6" s="9" t="n">
        <f aca="false">COUNTIF('Traceability Matrix'!$J$2:$J$1000,A6)</f>
        <v>1</v>
      </c>
    </row>
    <row r="7" customFormat="false" ht="15" hidden="false" customHeight="false" outlineLevel="0" collapsed="false">
      <c r="A7" s="9" t="s">
        <v>25</v>
      </c>
      <c r="B7" s="9" t="n">
        <f aca="false">COUNTIF('Traceability Matrix'!$J$2:$J$1000,A7)</f>
        <v>3</v>
      </c>
    </row>
    <row r="8" customFormat="false" ht="15" hidden="false" customHeight="false" outlineLevel="0" collapsed="false">
      <c r="A8" s="9" t="s">
        <v>44</v>
      </c>
      <c r="B8" s="9" t="n">
        <f aca="false">COUNTIF('Traceability Matrix'!$J$2:$J$1000,A8)</f>
        <v>6</v>
      </c>
    </row>
    <row r="9" customFormat="false" ht="15" hidden="false" customHeight="false" outlineLevel="0" collapsed="false">
      <c r="A9" s="9" t="s">
        <v>85</v>
      </c>
      <c r="B9" s="9" t="n">
        <f aca="false">COUNTIF('Traceability Matrix'!$J$2:$J$1000,A9)</f>
        <v>5</v>
      </c>
    </row>
    <row r="10" customFormat="false" ht="15" hidden="false" customHeight="false" outlineLevel="0" collapsed="false">
      <c r="A10" s="9" t="s">
        <v>118</v>
      </c>
      <c r="B10" s="9" t="n">
        <f aca="false">COUNTIF('Traceability Matrix'!$J$2:$J$1000,A10)</f>
        <v>4</v>
      </c>
    </row>
    <row r="11" customFormat="false" ht="15" hidden="false" customHeight="false" outlineLevel="0" collapsed="false">
      <c r="A11" s="9" t="s">
        <v>142</v>
      </c>
      <c r="B11" s="9" t="n">
        <f aca="false">COUNTIF('Traceability Matrix'!$J$2:$J$1000,A11)</f>
        <v>3</v>
      </c>
    </row>
    <row r="12" customFormat="false" ht="15" hidden="false" customHeight="false" outlineLevel="0" collapsed="false">
      <c r="A12" s="9" t="s">
        <v>166</v>
      </c>
      <c r="B12" s="9" t="n">
        <f aca="false">COUNTIF('Traceability Matrix'!$J$2:$J$1000,A12)</f>
        <v>4</v>
      </c>
    </row>
    <row r="13" customFormat="false" ht="15" hidden="false" customHeight="false" outlineLevel="0" collapsed="false">
      <c r="A13" s="9" t="s">
        <v>193</v>
      </c>
      <c r="B13" s="9" t="n">
        <f aca="false">COUNTIF('Traceability Matrix'!$J$2:$J$1000,A13)</f>
        <v>2</v>
      </c>
    </row>
    <row r="14" customFormat="false" ht="15" hidden="false" customHeight="false" outlineLevel="0" collapsed="false">
      <c r="A14" s="9" t="s">
        <v>208</v>
      </c>
      <c r="B14" s="9" t="n">
        <f aca="false">COUNTIF('Traceability Matrix'!$J$2:$J$1000,A14)</f>
        <v>7</v>
      </c>
    </row>
    <row r="15" customFormat="false" ht="15" hidden="false" customHeight="false" outlineLevel="0" collapsed="false">
      <c r="A15" s="9" t="s">
        <v>261</v>
      </c>
      <c r="B15" s="9" t="n">
        <f aca="false">COUNTIF('Traceability Matrix'!$J$2:$J$1000,A15)</f>
        <v>11</v>
      </c>
    </row>
    <row r="16" customFormat="false" ht="15" hidden="false" customHeight="false" outlineLevel="0" collapsed="false">
      <c r="A16" s="9" t="s">
        <v>335</v>
      </c>
      <c r="B16" s="9" t="n">
        <f aca="false">COUNTIF('Traceability Matrix'!$J$2:$J$1000,A16)</f>
        <v>6</v>
      </c>
    </row>
    <row r="17" customFormat="false" ht="15" hidden="false" customHeight="false" outlineLevel="0" collapsed="false">
      <c r="A17" s="9" t="s">
        <v>374</v>
      </c>
      <c r="B17" s="9" t="n">
        <f aca="false">COUNTIF('Traceability Matrix'!$J$2:$J$1000,A17)</f>
        <v>10</v>
      </c>
    </row>
    <row r="18" customFormat="false" ht="15" hidden="false" customHeight="false" outlineLevel="0" collapsed="false">
      <c r="A18" s="9" t="s">
        <v>435</v>
      </c>
      <c r="B18" s="9" t="n">
        <f aca="false">COUNTIF('Traceability Matrix'!$J$2:$J$1000,A18)</f>
        <v>4</v>
      </c>
    </row>
    <row r="19" customFormat="false" ht="15" hidden="false" customHeight="false" outlineLevel="0" collapsed="false">
      <c r="A19" s="9" t="s">
        <v>452</v>
      </c>
      <c r="B19" s="9" t="n">
        <f aca="false">COUNTIF('Traceability Matrix'!$J$2:$J$1000,A19)</f>
        <v>2</v>
      </c>
    </row>
    <row r="20" customFormat="false" ht="15" hidden="false" customHeight="false" outlineLevel="0" collapsed="false">
      <c r="A20" s="8" t="s">
        <v>462</v>
      </c>
      <c r="B20" s="8" t="n">
        <f aca="false">SUM(B6:B19)</f>
        <v>68</v>
      </c>
    </row>
    <row r="22" customFormat="false" ht="15" hidden="false" customHeight="false" outlineLevel="0" collapsed="false">
      <c r="A22" s="7" t="s">
        <v>463</v>
      </c>
    </row>
    <row r="23" customFormat="false" ht="15" hidden="false" customHeight="false" outlineLevel="0" collapsed="false">
      <c r="A23" s="8" t="s">
        <v>10</v>
      </c>
      <c r="B23" s="8" t="s">
        <v>461</v>
      </c>
    </row>
    <row r="24" customFormat="false" ht="15" hidden="false" customHeight="false" outlineLevel="0" collapsed="false">
      <c r="A24" s="9" t="s">
        <v>19</v>
      </c>
      <c r="B24" s="9" t="n">
        <f aca="false">COUNTIF('Traceability Matrix'!$K$2:$K$1000,A24&amp;"*")</f>
        <v>53</v>
      </c>
    </row>
    <row r="25" customFormat="false" ht="15" hidden="false" customHeight="false" outlineLevel="0" collapsed="false">
      <c r="A25" s="9" t="s">
        <v>209</v>
      </c>
      <c r="B25" s="9" t="n">
        <f aca="false">COUNTIF('Traceability Matrix'!$K$2:$K$1000,A25&amp;"*")</f>
        <v>13</v>
      </c>
    </row>
    <row r="26" customFormat="false" ht="15" hidden="false" customHeight="false" outlineLevel="0" collapsed="false">
      <c r="A26" s="9" t="s">
        <v>218</v>
      </c>
      <c r="B26" s="9" t="n">
        <f aca="false">COUNTIF('Traceability Matrix'!$K$2:$K$1000,A26&amp;"*")</f>
        <v>2</v>
      </c>
    </row>
    <row r="27" customFormat="false" ht="15" hidden="false" customHeight="false" outlineLevel="0" collapsed="false">
      <c r="A27" s="8" t="s">
        <v>462</v>
      </c>
      <c r="B27" s="8" t="n">
        <f aca="false">SUM(B24:B26)</f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2026-07-23T16:03:42Z</dcterms:created>
  <dc:creator>openpyxl</dc:creator>
  <dc:description/>
  <dc:language>en-US</dc:language>
  <cp:lastModifiedBy/>
  <dcterms:modified xsi:type="dcterms:W3CDTF">2026-07-23T16:03:42Z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